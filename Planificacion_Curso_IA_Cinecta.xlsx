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Descargas\"/>
    </mc:Choice>
  </mc:AlternateContent>
  <xr:revisionPtr revIDLastSave="0" documentId="13_ncr:1_{EF7AE508-C0C3-4785-8021-5708CA1B5D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 Curso" sheetId="1" r:id="rId1"/>
    <sheet name="Planificación 8 Clases" sheetId="2" r:id="rId2"/>
    <sheet name="Matriz Ejercicios" sheetId="3" r:id="rId3"/>
    <sheet name="Proyecto Fi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D28" i="1"/>
  <c r="C28" i="1" s="1"/>
  <c r="E28" i="1" s="1"/>
  <c r="D27" i="1"/>
  <c r="C27" i="1" s="1"/>
  <c r="E27" i="1" s="1"/>
  <c r="D26" i="1"/>
  <c r="C26" i="1" s="1"/>
  <c r="E26" i="1" s="1"/>
  <c r="D25" i="1"/>
  <c r="C25" i="1" s="1"/>
  <c r="E25" i="1" s="1"/>
  <c r="D24" i="1"/>
  <c r="C24" i="1" s="1"/>
  <c r="E24" i="1" s="1"/>
  <c r="D23" i="1"/>
  <c r="C23" i="1" s="1"/>
  <c r="E23" i="1" s="1"/>
  <c r="D22" i="1"/>
  <c r="C22" i="1" s="1"/>
  <c r="E22" i="1" s="1"/>
  <c r="D21" i="1"/>
  <c r="C21" i="1" s="1"/>
  <c r="E21" i="1" s="1"/>
  <c r="B10" i="1"/>
  <c r="B9" i="1"/>
  <c r="B8" i="1"/>
  <c r="B7" i="1"/>
</calcChain>
</file>

<file path=xl/sharedStrings.xml><?xml version="1.0" encoding="utf-8"?>
<sst xmlns="http://schemas.openxmlformats.org/spreadsheetml/2006/main" count="850" uniqueCount="459">
  <si>
    <t>Planificación curso de IA aplicada - Cinecta</t>
  </si>
  <si>
    <t>Duración total</t>
  </si>
  <si>
    <t>12 horas</t>
  </si>
  <si>
    <t>Formato</t>
  </si>
  <si>
    <t>8 clases x 1,5 horas</t>
  </si>
  <si>
    <t>Modalidad</t>
  </si>
  <si>
    <t>Taller práctico sincrónico</t>
  </si>
  <si>
    <t>Empresa</t>
  </si>
  <si>
    <t>Cinecta</t>
  </si>
  <si>
    <t>Enfoque</t>
  </si>
  <si>
    <t>Productividad, finanzas, datos, documentos, agentes y automatización</t>
  </si>
  <si>
    <t>Versión</t>
  </si>
  <si>
    <t>Actualizada 2026</t>
  </si>
  <si>
    <t>Fuente base</t>
  </si>
  <si>
    <t>Presentación de clases anterior adjunta: Inteligencia Artificial Generativa para Equipos de Trabajo - CONECTA</t>
  </si>
  <si>
    <t>KPI</t>
  </si>
  <si>
    <t>Valor</t>
  </si>
  <si>
    <t>Detalle</t>
  </si>
  <si>
    <t>Total clases</t>
  </si>
  <si>
    <t>Clases planificadas</t>
  </si>
  <si>
    <t>Total horas</t>
  </si>
  <si>
    <t>Debe ser 12</t>
  </si>
  <si>
    <t>Minutos de práctica alumnos</t>
  </si>
  <si>
    <t>Práctica directa + trabajo guiado</t>
  </si>
  <si>
    <t>N° ejercicios prácticos</t>
  </si>
  <si>
    <t>Incluye ejercicios codificados</t>
  </si>
  <si>
    <t>Requerimiento Cinecta</t>
  </si>
  <si>
    <t>Clase donde se incorpora</t>
  </si>
  <si>
    <t>Ejercicio / actividad</t>
  </si>
  <si>
    <t>Estado</t>
  </si>
  <si>
    <t>Observación</t>
  </si>
  <si>
    <t>Contraste de bases de contratos y normas con foco Finanzas</t>
  </si>
  <si>
    <t>Clase 4</t>
  </si>
  <si>
    <t>Ejercicio 4.2</t>
  </si>
  <si>
    <t>Incluido</t>
  </si>
  <si>
    <t>NotebookLM + tabla de cumplimiento, riesgo y recomendación</t>
  </si>
  <si>
    <t>Automatización avanzada de correos y presentaciones</t>
  </si>
  <si>
    <t>Clases 4, 5 y 6</t>
  </si>
  <si>
    <t>Ejercicios 4.3, 5.1 y 6.1</t>
  </si>
  <si>
    <t>De minuta a presentación, correo y flujo automatizado</t>
  </si>
  <si>
    <t>Revisión de bases de licitación mediante agentes</t>
  </si>
  <si>
    <t>Clase 6</t>
  </si>
  <si>
    <t>Ejercicio 6.2</t>
  </si>
  <si>
    <t>Checklist de documentos, requisitos y riesgos</t>
  </si>
  <si>
    <t>Análisis de datos e indicadores por departamento</t>
  </si>
  <si>
    <t>Clase 3</t>
  </si>
  <si>
    <t>Ejercicio 3.2</t>
  </si>
  <si>
    <t>Calidad, Oficina Técnica, Planificación y RR.HH.</t>
  </si>
  <si>
    <t>Gestión automática de reuniones y compromisos</t>
  </si>
  <si>
    <t>Clases 2 y 5</t>
  </si>
  <si>
    <t>Ejercicios 2.1 y 5.1</t>
  </si>
  <si>
    <t>Minuta, compromisos y correos</t>
  </si>
  <si>
    <t>Exploración de conexiones a sistemas internos (MCP)</t>
  </si>
  <si>
    <t>Ejercicio 6.3</t>
  </si>
  <si>
    <t>Incluido como demo conceptual</t>
  </si>
  <si>
    <t>Depende de permisos y acceso a ERP/sistemas internos</t>
  </si>
  <si>
    <t>Clase</t>
  </si>
  <si>
    <t>Tema</t>
  </si>
  <si>
    <t>Horas</t>
  </si>
  <si>
    <t>Minutos</t>
  </si>
  <si>
    <t>Barra visual</t>
  </si>
  <si>
    <t>Foco de aprendizaje</t>
  </si>
  <si>
    <t>Inicio estratégico y demostraciones</t>
  </si>
  <si>
    <t>Alinear expectativas y mostrar potencial</t>
  </si>
  <si>
    <t>Prompt básico y ROCEF</t>
  </si>
  <si>
    <t>Crear prompts operativos</t>
  </si>
  <si>
    <t>Prompt para análisis de datos</t>
  </si>
  <si>
    <t>Transformar datos en decisiones</t>
  </si>
  <si>
    <t>Herramientas IA</t>
  </si>
  <si>
    <t>Elegir y combinar herramientas</t>
  </si>
  <si>
    <t>Automatización básica</t>
  </si>
  <si>
    <t>Crear asistentes y flujos básicos</t>
  </si>
  <si>
    <t>Automatización avanzada</t>
  </si>
  <si>
    <t>Diseñar automatizaciones avanzadas</t>
  </si>
  <si>
    <t>Proyecto aplicado</t>
  </si>
  <si>
    <t>Convertir ideas en proyectos aplicables</t>
  </si>
  <si>
    <t>Presentaciones finales</t>
  </si>
  <si>
    <t>Comunicar y evaluar soluciones</t>
  </si>
  <si>
    <t>Nota de uso</t>
  </si>
  <si>
    <t>La planificación asume bloques de 90 minutos. En los ejercicios, la práctica de alumnos dura 10 minutos como regla base.</t>
  </si>
  <si>
    <t>Nombre clase</t>
  </si>
  <si>
    <t>Ejercicio</t>
  </si>
  <si>
    <t>Actividad / título</t>
  </si>
  <si>
    <t>Tipo</t>
  </si>
  <si>
    <t>Inicio</t>
  </si>
  <si>
    <t>Término</t>
  </si>
  <si>
    <t>Duración min</t>
  </si>
  <si>
    <t>Herramientas</t>
  </si>
  <si>
    <t>Entregable esperado</t>
  </si>
  <si>
    <t>Observaciones</t>
  </si>
  <si>
    <t>Inicio y presentación: contexto del curso, objetivos, expectativas y reglas de trabajo</t>
  </si>
  <si>
    <t>00:00</t>
  </si>
  <si>
    <t>00:20</t>
  </si>
  <si>
    <t>Teoría aplicada: IA generativa, LLMs, ventana de contexto, riesgos y oportunidades</t>
  </si>
  <si>
    <t>Teoría</t>
  </si>
  <si>
    <t>00:40</t>
  </si>
  <si>
    <t>Demostración</t>
  </si>
  <si>
    <t>00:55</t>
  </si>
  <si>
    <t>01:10</t>
  </si>
  <si>
    <t>ChatGPT con análisis de datos</t>
  </si>
  <si>
    <t>01:25</t>
  </si>
  <si>
    <t>NotebookLM / Gamma / Claude Design / Codex</t>
  </si>
  <si>
    <t>01:30</t>
  </si>
  <si>
    <t>Prompt básico y metodología ROCEF</t>
  </si>
  <si>
    <t>Apertura: objetivos de la clase y regla de trabajo con prompts</t>
  </si>
  <si>
    <t>00:05</t>
  </si>
  <si>
    <t>ChatGPT / Claude</t>
  </si>
  <si>
    <t>00:15</t>
  </si>
  <si>
    <t>2.1</t>
  </si>
  <si>
    <t>Ejercicio - explicación</t>
  </si>
  <si>
    <t>ChatGPT / Claude / Gemini</t>
  </si>
  <si>
    <t>Ejercicio - demo profesor</t>
  </si>
  <si>
    <t>00:30</t>
  </si>
  <si>
    <t>Ejercicio - práctica alumnos</t>
  </si>
  <si>
    <t>2.2</t>
  </si>
  <si>
    <t>00:45</t>
  </si>
  <si>
    <t>ChatGPT / Copilot</t>
  </si>
  <si>
    <t>01:05</t>
  </si>
  <si>
    <t>2.3</t>
  </si>
  <si>
    <t>01:20</t>
  </si>
  <si>
    <t>Prompt aplicado a análisis de datos</t>
  </si>
  <si>
    <t>Microteoría: cómo pedir análisis de datos, validar resultados y evitar conclusiones falsas</t>
  </si>
  <si>
    <t>00:10</t>
  </si>
  <si>
    <t>ChatGPT con análisis de datos / Excel</t>
  </si>
  <si>
    <t>3.1</t>
  </si>
  <si>
    <t>Ejercicio 3.1: explicación del resultado esperado — Análisis de prospección comercial: tasa de apertura por segmento y recomendación</t>
  </si>
  <si>
    <t>ChatGPT con Excel/CSV</t>
  </si>
  <si>
    <t>Ejercicio 3.1: demostración del profesor — Análisis de prospección comercial: tasa de apertura por segmento y recomendación</t>
  </si>
  <si>
    <t>00:25</t>
  </si>
  <si>
    <t>Ejercicio 3.1: práctica de alumnos — Análisis de prospección comercial: tasa de apertura por segmento y recomendación</t>
  </si>
  <si>
    <t>00:35</t>
  </si>
  <si>
    <t>3.2</t>
  </si>
  <si>
    <t>Ejercicio 3.2: explicación del resultado esperado — Indicadores por departamento: Calidad, Oficina Técnica, Planificación y RR.HH.</t>
  </si>
  <si>
    <t>ChatGPT / Claude + Excel</t>
  </si>
  <si>
    <t>Ejercicio 3.2: demostración del profesor — Indicadores por departamento: Calidad, Oficina Técnica, Planificación y RR.HH.</t>
  </si>
  <si>
    <t>00:50</t>
  </si>
  <si>
    <t>Ejercicio 3.2: práctica de alumnos — Indicadores por departamento: Calidad, Oficina Técnica, Planificación y RR.HH.</t>
  </si>
  <si>
    <t>01:00</t>
  </si>
  <si>
    <t>3.3</t>
  </si>
  <si>
    <t>Ejercicio 3.3: explicación del resultado esperado — Auditoría de planilla: duplicados, outliers, inconsistencias y resumen ejecutivo</t>
  </si>
  <si>
    <t>ChatGPT / Excel</t>
  </si>
  <si>
    <t>Ejercicio 3.3: demostración del profesor — Auditoría de planilla: duplicados, outliers, inconsistencias y resumen ejecutivo</t>
  </si>
  <si>
    <t>01:15</t>
  </si>
  <si>
    <t>Ejercicio 3.3: práctica de alumnos — Auditoría de planilla: duplicados, outliers, inconsistencias y resumen ejecutivo</t>
  </si>
  <si>
    <t>Cierre: checklist para validar análisis antes de enviarlo a una jefatura</t>
  </si>
  <si>
    <t>Cierre</t>
  </si>
  <si>
    <t>Checklist</t>
  </si>
  <si>
    <t>Herramientas IA: NotebookLM, Claude Design, Gamma y Codex</t>
  </si>
  <si>
    <t>Apertura: mapa de herramientas y criterio de selección según tarea</t>
  </si>
  <si>
    <t>00:08</t>
  </si>
  <si>
    <t>4.1</t>
  </si>
  <si>
    <t>Ejercicio 4.1: explicación del resultado esperado — NotebookLM: resumir procedimiento interno y responder preguntas con base documental</t>
  </si>
  <si>
    <t>00:11</t>
  </si>
  <si>
    <t>NotebookLM</t>
  </si>
  <si>
    <t>Ejercicio 4.1: demostración del profesor — NotebookLM: resumir procedimiento interno y responder preguntas con base documental</t>
  </si>
  <si>
    <t>00:16</t>
  </si>
  <si>
    <t>Ejercicio 4.1: práctica de alumnos — NotebookLM: resumir procedimiento interno y responder preguntas con base documental</t>
  </si>
  <si>
    <t>00:26</t>
  </si>
  <si>
    <t>4.2</t>
  </si>
  <si>
    <t>Ejercicio 4.2: explicación del resultado esperado — Contraste de bases de contrato vs normativa interna con enfoque financiero</t>
  </si>
  <si>
    <t>00:29</t>
  </si>
  <si>
    <t>NotebookLM / ChatGPT</t>
  </si>
  <si>
    <t>Ejercicio 4.2: demostración del profesor — Contraste de bases de contrato vs normativa interna con enfoque financiero</t>
  </si>
  <si>
    <t>00:34</t>
  </si>
  <si>
    <t>Ejercicio 4.2: práctica de alumnos — Contraste de bases de contrato vs normativa interna con enfoque financiero</t>
  </si>
  <si>
    <t>00:44</t>
  </si>
  <si>
    <t>4.3</t>
  </si>
  <si>
    <t>Ejercicio 4.3: explicación del resultado esperado — Presentación rápida desde minuta: estructura para Gamma y mejora visual con Claude Design</t>
  </si>
  <si>
    <t>00:47</t>
  </si>
  <si>
    <t>Gamma / Claude Design</t>
  </si>
  <si>
    <t>Ejercicio 4.3: demostración del profesor — Presentación rápida desde minuta: estructura para Gamma y mejora visual con Claude Design</t>
  </si>
  <si>
    <t>00:52</t>
  </si>
  <si>
    <t>Ejercicio 4.3: práctica de alumnos — Presentación rápida desde minuta: estructura para Gamma y mejora visual con Claude Design</t>
  </si>
  <si>
    <t>01:02</t>
  </si>
  <si>
    <t>4.4</t>
  </si>
  <si>
    <t>Ejercicio 4.4: explicación del resultado esperado — Codex/Claude Code: convertir un requerimiento en plantilla operativa o dashboard simple</t>
  </si>
  <si>
    <t>Codex / Claude Code</t>
  </si>
  <si>
    <t>Ejercicio 4.4: demostración del profesor — Codex/Claude Code: convertir un requerimiento en plantilla operativa o dashboard simple</t>
  </si>
  <si>
    <t>Ejercicio 4.4: práctica de alumnos — Codex/Claude Code: convertir un requerimiento en plantilla operativa o dashboard simple</t>
  </si>
  <si>
    <t>Cierre: elección de herramienta correcta para cada caso de uso de Cinecta</t>
  </si>
  <si>
    <t>Matriz de decisión</t>
  </si>
  <si>
    <t>Automatización básica con ChatGPT, Claude Code y agentes simples</t>
  </si>
  <si>
    <t>Microteoría: flujo básico, entrada-proceso-salida, rol del humano y control de calidad</t>
  </si>
  <si>
    <t>ChatGPT / Claude / Codex</t>
  </si>
  <si>
    <t>5.1</t>
  </si>
  <si>
    <t>Ejercicio 5.1: explicación del resultado esperado — Asistente de reunión: audio/transcripción → minuta → compromisos → correos</t>
  </si>
  <si>
    <t>Read AI / Otter / ChatGPT / Gmail</t>
  </si>
  <si>
    <t>Ejercicio 5.1: demostración del profesor — Asistente de reunión: audio/transcripción → minuta → compromisos → correos</t>
  </si>
  <si>
    <t>Ejercicio 5.1: práctica de alumnos — Asistente de reunión: audio/transcripción → minuta → compromisos → correos</t>
  </si>
  <si>
    <t>5.2</t>
  </si>
  <si>
    <t>Ejercicio 5.2: explicación del resultado esperado — Agente documental simple: propuesta comercial con reglas, archivos y formato</t>
  </si>
  <si>
    <t>ChatGPT Projects / Custom GPT / Claude</t>
  </si>
  <si>
    <t>Ejercicio 5.2: demostración del profesor — Agente documental simple: propuesta comercial con reglas, archivos y formato</t>
  </si>
  <si>
    <t>Ejercicio 5.2: práctica de alumnos — Agente documental simple: propuesta comercial con reglas, archivos y formato</t>
  </si>
  <si>
    <t>5.3</t>
  </si>
  <si>
    <t>Ejercicio 5.3: explicación del resultado esperado — Claude Code/Codex básico: crear o modificar una plantilla operativa a partir de instrucciones</t>
  </si>
  <si>
    <t>Claude Code / Codex</t>
  </si>
  <si>
    <t>Ejercicio 5.3: demostración del profesor — Claude Code/Codex básico: crear o modificar una plantilla operativa a partir de instrucciones</t>
  </si>
  <si>
    <t>Ejercicio 5.3: práctica de alumnos — Claude Code/Codex básico: crear o modificar una plantilla operativa a partir de instrucciones</t>
  </si>
  <si>
    <t>Cierre: checklist de seguridad, privacidad y revisión humana</t>
  </si>
  <si>
    <t>Automatización avanzada con n8n, Make, agentes y MCP</t>
  </si>
  <si>
    <t>Microteoría: arquitectura no-code, triggers, routers, APIs, logs, errores y permisos</t>
  </si>
  <si>
    <t>n8n / Make / APIs / MCP</t>
  </si>
  <si>
    <t>6.1</t>
  </si>
  <si>
    <t>Ejercicio 6.1: explicación del resultado esperado — Correos automáticos: Gmail/Outlook → IA → borrador de respuesta → registro en Sheets</t>
  </si>
  <si>
    <t>n8n / Make / Gmail / Outlook / Google Sheets / ChatGPT</t>
  </si>
  <si>
    <t>Ejercicio 6.1: demostración del profesor — Correos automáticos: Gmail/Outlook → IA → borrador de respuesta → registro en Sheets</t>
  </si>
  <si>
    <t>Ejercicio 6.1: práctica de alumnos — Correos automáticos: Gmail/Outlook → IA → borrador de respuesta → registro en Sheets</t>
  </si>
  <si>
    <t>6.2</t>
  </si>
  <si>
    <t>Ejercicio 6.2: explicación del resultado esperado — Revisión de bases de licitación mediante agente: documentos, requisitos y checklist</t>
  </si>
  <si>
    <t>n8n / ChatGPT / Drive / SharePoint</t>
  </si>
  <si>
    <t>Ejercicio 6.2: demostración del profesor — Revisión de bases de licitación mediante agente: documentos, requisitos y checklist</t>
  </si>
  <si>
    <t>Ejercicio 6.2: práctica de alumnos — Revisión de bases de licitación mediante agente: documentos, requisitos y checklist</t>
  </si>
  <si>
    <t>6.3</t>
  </si>
  <si>
    <t>Ejercicio 6.3: explicación del resultado esperado — Exploración MCP/ERP: consulta controlada de facturas impagas o datos internos</t>
  </si>
  <si>
    <t>MCP / ERP / ChatGPT / n8n</t>
  </si>
  <si>
    <t>Ejercicio 6.3: demostración del profesor — Exploración MCP/ERP: consulta controlada de facturas impagas o datos internos</t>
  </si>
  <si>
    <t>Ejercicio 6.3: práctica de alumnos — Exploración MCP/ERP: consulta controlada de facturas impagas o datos internos</t>
  </si>
  <si>
    <t>Cierre: priorización de quick wins y riesgos de implementación</t>
  </si>
  <si>
    <t>Matriz impacto/esfuerzo</t>
  </si>
  <si>
    <t>Resumen, preguntas y trabajo guiado de proyecto</t>
  </si>
  <si>
    <t>Resumen integrador: prompting, datos, herramientas, agentes y automatización</t>
  </si>
  <si>
    <t>Resumen</t>
  </si>
  <si>
    <t>Pizarra / presentación</t>
  </si>
  <si>
    <t>Clínica de proyecto individual: preguntas, alcance, datos disponibles y límites</t>
  </si>
  <si>
    <t>Trabajo guiado</t>
  </si>
  <si>
    <t>Plantilla de proyecto</t>
  </si>
  <si>
    <t>7.1</t>
  </si>
  <si>
    <t>Ejercicio 7.1: mapa de oportunidad IA por área y priorización impacto/esfuerzo</t>
  </si>
  <si>
    <t>Trabajo en grupo: diseño de flujo/prototipo del proyecto final</t>
  </si>
  <si>
    <t>Trabajo en grupo</t>
  </si>
  <si>
    <t>ChatGPT / NotebookLM / n8n / Gamma</t>
  </si>
  <si>
    <t>Preparación del pitch final: estructura de 5 diapositivas y criterios de evaluación</t>
  </si>
  <si>
    <t>Preparación</t>
  </si>
  <si>
    <t>Gamma / PowerPoint</t>
  </si>
  <si>
    <t>Cierre: próximos pasos y tareas antes de presentar</t>
  </si>
  <si>
    <t>Presentaciones de proyectos de alumnos</t>
  </si>
  <si>
    <t>Apertura: reglas de presentación, tiempos y pauta de evaluación</t>
  </si>
  <si>
    <t>Rúbrica</t>
  </si>
  <si>
    <t>Presentaciones bloque 1: 4 equipos x 7 minutos</t>
  </si>
  <si>
    <t>Presentaciones</t>
  </si>
  <si>
    <t>00:33</t>
  </si>
  <si>
    <t>Gamma / PowerPoint / demo</t>
  </si>
  <si>
    <t>Ajustable según número de equipos</t>
  </si>
  <si>
    <t>Feedback bloque 1: preguntas y recomendaciones rápidas</t>
  </si>
  <si>
    <t>Feedback</t>
  </si>
  <si>
    <t>Presentaciones bloque 2: 4 equipos x 7 minutos</t>
  </si>
  <si>
    <t>01:08</t>
  </si>
  <si>
    <t>Feedback cruzado y priorización de quick wins para Cinecta</t>
  </si>
  <si>
    <t>Cierre docente: aprendizajes, riesgos, siguientes pasos y recomendaciones de adopción</t>
  </si>
  <si>
    <t>01:28</t>
  </si>
  <si>
    <t>Presentación</t>
  </si>
  <si>
    <t>Encuesta final y compromiso de aplicación</t>
  </si>
  <si>
    <t>Formulario</t>
  </si>
  <si>
    <t>Código</t>
  </si>
  <si>
    <t>Título del ejercicio</t>
  </si>
  <si>
    <t>Objetivo</t>
  </si>
  <si>
    <t>Insumo requerido</t>
  </si>
  <si>
    <t>Minutos alumnos</t>
  </si>
  <si>
    <t>Entregable</t>
  </si>
  <si>
    <t>Requerimiento asociado</t>
  </si>
  <si>
    <t>Dificultad</t>
  </si>
  <si>
    <t>Criterio de evaluación</t>
  </si>
  <si>
    <t>Minuta automática y matriz de compromisos</t>
  </si>
  <si>
    <t>Extraer acuerdos, tareas, responsables, plazos, riesgos y prioridades desde una transcripción</t>
  </si>
  <si>
    <t>Transcripción de reunión o audio convertido a texto</t>
  </si>
  <si>
    <t>Tabla de compromisos + resumen ejecutivo</t>
  </si>
  <si>
    <t>Gestión de reuniones</t>
  </si>
  <si>
    <t>Básico</t>
  </si>
  <si>
    <t>Criterio: claridad de responsables, plazos y prioridades</t>
  </si>
  <si>
    <t>Correo de seguimiento ejecutivo</t>
  </si>
  <si>
    <t>Redactar correos según objetivo, destinatario, tono y próximos pasos</t>
  </si>
  <si>
    <t>Minuta o lista de acuerdos</t>
  </si>
  <si>
    <t>Correo listo para enviar</t>
  </si>
  <si>
    <t>Productividad diaria</t>
  </si>
  <si>
    <t>Criterio: tono profesional, precisión y acción concreta</t>
  </si>
  <si>
    <t>Refinamiento de prompt hacia salida controlada</t>
  </si>
  <si>
    <t>Pasar de una instrucción abierta a un prompt con reglas, formato y validación</t>
  </si>
  <si>
    <t>Texto desordenado o caso operativo</t>
  </si>
  <si>
    <t>Prompt final + tabla estructurada</t>
  </si>
  <si>
    <t>Prompting</t>
  </si>
  <si>
    <t>Criterio: salida repetible y sin ambigüedad</t>
  </si>
  <si>
    <t>Análisis de prospección comercial</t>
  </si>
  <si>
    <t>Calcular rendimiento por segmento, día y asunto, y recomendar acciones</t>
  </si>
  <si>
    <t>Excel/CSV de envíos de correos</t>
  </si>
  <si>
    <t>Tabla + gráfico + recomendación</t>
  </si>
  <si>
    <t>Análisis de datos</t>
  </si>
  <si>
    <t>Intermedio</t>
  </si>
  <si>
    <t>Criterio: métricas correctas y conclusión accionable</t>
  </si>
  <si>
    <t>Indicadores por departamento</t>
  </si>
  <si>
    <t>Analizar datos o procedimientos de Calidad, Oficina Técnica, Planificación y RR.HH.</t>
  </si>
  <si>
    <t>Planilla de indicadores o procedimiento interno</t>
  </si>
  <si>
    <t>Resumen por área + riesgos + puntos débiles</t>
  </si>
  <si>
    <t>Solicitud Cinecta</t>
  </si>
  <si>
    <t>Criterio: hallazgos útiles para cada departamento</t>
  </si>
  <si>
    <t>Auditoría de planilla</t>
  </si>
  <si>
    <t>Detectar duplicados, outliers, errores y datos faltantes antes de tomar decisiones</t>
  </si>
  <si>
    <t>Excel con registros operativos</t>
  </si>
  <si>
    <t>Lista de errores + acciones correctivas</t>
  </si>
  <si>
    <t>Calidad de datos</t>
  </si>
  <si>
    <t>Criterio: detectar errores sin inventar datos</t>
  </si>
  <si>
    <t>NotebookLM para procedimientos internos</t>
  </si>
  <si>
    <t>Convertir documentos largos en resúmenes, reglas y respuestas fundamentadas</t>
  </si>
  <si>
    <t>PDF de reglamento/procedimiento</t>
  </si>
  <si>
    <t>Resumen ejecutivo + preguntas y respuestas</t>
  </si>
  <si>
    <t>Herramientas documentales</t>
  </si>
  <si>
    <t>Criterio: responder solo con base en documentos</t>
  </si>
  <si>
    <t>Contraste contrato vs normativa interna</t>
  </si>
  <si>
    <t>Comparar condiciones de un contrato/propuesta contra normas internas financieras</t>
  </si>
  <si>
    <t>Bases de contrato + política interna</t>
  </si>
  <si>
    <t>Tabla de cumplimiento, riesgo y recomendación</t>
  </si>
  <si>
    <t>Solicitud Finanzas</t>
  </si>
  <si>
    <t>Criterio: identificar cumple/no cumple/requiere aprobación</t>
  </si>
  <si>
    <t>Presentación rápida desde minuta</t>
  </si>
  <si>
    <t>Transformar una reunión en estructura de presentación ejecutiva</t>
  </si>
  <si>
    <t>Minuta o transcripción</t>
  </si>
  <si>
    <t>Guion y deck editable</t>
  </si>
  <si>
    <t>Presentaciones rápidas</t>
  </si>
  <si>
    <t>Criterio: claridad ejecutiva y consistencia visual</t>
  </si>
  <si>
    <t>Codex/Claude Code para plantilla operativa</t>
  </si>
  <si>
    <t>Convertir un requerimiento en estructura de archivo, dashboard o plantilla</t>
  </si>
  <si>
    <t>Requerimiento escrito</t>
  </si>
  <si>
    <t>Prototipo o plantilla base</t>
  </si>
  <si>
    <t>Herramientas técnicas</t>
  </si>
  <si>
    <t>Avanzado básico</t>
  </si>
  <si>
    <t>Criterio: instrucciones claras y resultado utilizable</t>
  </si>
  <si>
    <t>Asistente de reunión completo</t>
  </si>
  <si>
    <t>Transformar audio/transcripción en minuta, compromisos y correos de seguimiento</t>
  </si>
  <si>
    <t>Audio/transcripción de reunión</t>
  </si>
  <si>
    <t>Minuta + correo + matriz de tareas</t>
  </si>
  <si>
    <t>Solicitud reuniones</t>
  </si>
  <si>
    <t>Criterio: flujo completo y revisión humana</t>
  </si>
  <si>
    <t>Agente documental simple</t>
  </si>
  <si>
    <t>Crear instrucciones persistentes para revisar archivos y generar entregables</t>
  </si>
  <si>
    <t>Formato base + tabla de reglas + transcripción</t>
  </si>
  <si>
    <t>Agente o instrucciones reutilizables</t>
  </si>
  <si>
    <t>Agentes</t>
  </si>
  <si>
    <t>Criterio: no inventar y respetar fuentes</t>
  </si>
  <si>
    <t>Automatización básica con Claude Code/Codex</t>
  </si>
  <si>
    <t>Modificar una plantilla o crear un artefacto operativo desde instrucciones</t>
  </si>
  <si>
    <t>Plantilla base o requerimiento</t>
  </si>
  <si>
    <t>Plantilla/script/documento generado</t>
  </si>
  <si>
    <t>Criterio: resultado reproducible</t>
  </si>
  <si>
    <t>Correos automáticos con registro</t>
  </si>
  <si>
    <t>Diseñar flujo correo → IA → borrador/respuesta → registro en planilla</t>
  </si>
  <si>
    <t>Correos simulados + reglas de respuesta</t>
  </si>
  <si>
    <t>n8n / Make / Gmail / Outlook / Sheets</t>
  </si>
  <si>
    <t>Diagrama de flujo + prompt + campos</t>
  </si>
  <si>
    <t>Solicitud correos</t>
  </si>
  <si>
    <t>Avanzado</t>
  </si>
  <si>
    <t>Criterio: controles, logs y excepciones</t>
  </si>
  <si>
    <t>Agente para bases de licitación</t>
  </si>
  <si>
    <t>Extraer requisitos, documentos y riesgos desde bases complejas</t>
  </si>
  <si>
    <t>Bases de licitación en PDF</t>
  </si>
  <si>
    <t>Checklist de documentos + riesgos</t>
  </si>
  <si>
    <t>Solicitud licitaciones</t>
  </si>
  <si>
    <t>Criterio: ordenar documentos y alertar faltantes</t>
  </si>
  <si>
    <t>MCP/ERP conceptual</t>
  </si>
  <si>
    <t>Diseñar conexión controlada a sistemas internos para consultar datos en tiempo real</t>
  </si>
  <si>
    <t>Caso ficticio de facturas impagas</t>
  </si>
  <si>
    <t>MCP / ERP / n8n / ChatGPT</t>
  </si>
  <si>
    <t>Diseño de permisos, consulta y trazabilidad</t>
  </si>
  <si>
    <t>Solicitud MCP</t>
  </si>
  <si>
    <t>Criterio: seguridad, permisos y trazabilidad</t>
  </si>
  <si>
    <t>Mapa de oportunidades IA por área</t>
  </si>
  <si>
    <t>Priorizar quick wins por impacto, esfuerzo, riesgo y datos disponibles</t>
  </si>
  <si>
    <t>Procesos reales de Cinecta</t>
  </si>
  <si>
    <t>Backlog priorizado de oportunidades</t>
  </si>
  <si>
    <t>Proyecto final</t>
  </si>
  <si>
    <t>Criterio: caso aplicable y acotado</t>
  </si>
  <si>
    <t>Proyecto final aplicado - Cinecta</t>
  </si>
  <si>
    <t>Diseñar un caso de uso real de IA aplicable a un proceso de Cinecta, con flujo, entregable, controles y próximos pasos.</t>
  </si>
  <si>
    <t>Formato sugerido</t>
  </si>
  <si>
    <t>Equipos o individual. Presentación de 5 diapositivas + demo, prompt, agente o flujo conceptual.</t>
  </si>
  <si>
    <t>Etapa</t>
  </si>
  <si>
    <t>Actividad</t>
  </si>
  <si>
    <t>Tiempo sugerido</t>
  </si>
  <si>
    <t>1</t>
  </si>
  <si>
    <t>Clase 2</t>
  </si>
  <si>
    <t>Definir problema y prompt base</t>
  </si>
  <si>
    <t>Problema + prompt ROCEF inicial</t>
  </si>
  <si>
    <t>Durante clase / tarea</t>
  </si>
  <si>
    <t>Elegir un proceso real y acotado</t>
  </si>
  <si>
    <t>2</t>
  </si>
  <si>
    <t>Identificar datos o documentos necesarios</t>
  </si>
  <si>
    <t>Lista de datos, fuentes y riesgos de calidad</t>
  </si>
  <si>
    <t>Evitar depender de datos inexistentes</t>
  </si>
  <si>
    <t>3</t>
  </si>
  <si>
    <t>Seleccionar herramienta principal</t>
  </si>
  <si>
    <t>Justificación de herramienta</t>
  </si>
  <si>
    <t>NotebookLM, Gamma, Claude Design, Codex, etc.</t>
  </si>
  <si>
    <t>4</t>
  </si>
  <si>
    <t>Clase 5</t>
  </si>
  <si>
    <t>Convertirlo en asistente, plantilla o flujo básico</t>
  </si>
  <si>
    <t>Prototipo funcional o instrucciones del agente</t>
  </si>
  <si>
    <t>Durante clase</t>
  </si>
  <si>
    <t>Debe incluir revisión humana</t>
  </si>
  <si>
    <t>5</t>
  </si>
  <si>
    <t>Escalar a automatización avanzada si aplica</t>
  </si>
  <si>
    <t>Diagrama no-code/MCP/agente</t>
  </si>
  <si>
    <t>Solo si aporta valor y es viable</t>
  </si>
  <si>
    <t>6</t>
  </si>
  <si>
    <t>Clase 7</t>
  </si>
  <si>
    <t>Preparar presentación y recibir feedback</t>
  </si>
  <si>
    <t>Versión final del proyecto</t>
  </si>
  <si>
    <t>Ajustar alcance y entregables</t>
  </si>
  <si>
    <t>7</t>
  </si>
  <si>
    <t>Clase 8</t>
  </si>
  <si>
    <t>Presentar solución</t>
  </si>
  <si>
    <t>Pitch + demo + siguientes pasos</t>
  </si>
  <si>
    <t>7 minutos por equipo</t>
  </si>
  <si>
    <t>Peso</t>
  </si>
  <si>
    <t>Descripción</t>
  </si>
  <si>
    <t>Nivel alto</t>
  </si>
  <si>
    <t>Nivel medio</t>
  </si>
  <si>
    <t>Nivel bajo</t>
  </si>
  <si>
    <t>Problema y valor de negocio</t>
  </si>
  <si>
    <t>Claridad del dolor y beneficio esperado</t>
  </si>
  <si>
    <t>Caso crítico, concreto y medible</t>
  </si>
  <si>
    <t>Caso relevante pero poco medible</t>
  </si>
  <si>
    <t>Caso general o poco conectado</t>
  </si>
  <si>
    <t>Calidad del prompt/agente/flujo</t>
  </si>
  <si>
    <t>Diseño de instrucciones, fuentes y proceso</t>
  </si>
  <si>
    <t>Estructura clara, controlada y reutilizable</t>
  </si>
  <si>
    <t>Funciona pero requiere ajustes</t>
  </si>
  <si>
    <t>Instrucciones vagas o no reproducibles</t>
  </si>
  <si>
    <t>Uso adecuado de herramientas</t>
  </si>
  <si>
    <t>Selección correcta de herramienta para el problema</t>
  </si>
  <si>
    <t>Herramienta bien justificada</t>
  </si>
  <si>
    <t>Herramienta útil pero no óptima</t>
  </si>
  <si>
    <t>Herramienta elegida sin criterio</t>
  </si>
  <si>
    <t>Control de riesgos y privacidad</t>
  </si>
  <si>
    <t>Validación humana, permisos, datos sensibles y trazabilidad</t>
  </si>
  <si>
    <t>Riesgos identificados y mitigados</t>
  </si>
  <si>
    <t>Riesgos mencionados superficialmente</t>
  </si>
  <si>
    <t>Sin control de riesgos</t>
  </si>
  <si>
    <t>Presentación y aplicabilidad</t>
  </si>
  <si>
    <t>Claridad del pitch y potencial de implementación</t>
  </si>
  <si>
    <t>Próximos pasos claros y aplicables</t>
  </si>
  <si>
    <t>Aplicabilidad parcial</t>
  </si>
  <si>
    <t>Difícil de implementar</t>
  </si>
  <si>
    <t>Total</t>
  </si>
  <si>
    <t>Demostración 1: De reunión a ejecución, en minutos</t>
  </si>
  <si>
    <t>Demostración 2: De Excel a dashboard ejecutivo</t>
  </si>
  <si>
    <t>Demostración 3: Presentaciones en NotebookLM, Claude Design y Codex como cadena de trabajo</t>
  </si>
  <si>
    <t>Ejercicio 2.1: explicación del resultado esperado — De reunión a ejecución, en minutos</t>
  </si>
  <si>
    <t>Ejercicio 2.1: demostración del profesor — De reunión a ejecución, en minutos</t>
  </si>
  <si>
    <t>Ejercicio 2.1: práctica de alumnos — De reunión a ejecución, en minutos</t>
  </si>
  <si>
    <t>Ejercicio 2.2: explicación del resultado esperado — Control inteligente de facturas</t>
  </si>
  <si>
    <t>Ejercicio 2.2: demostración del profesor — Control inteligente de facturas</t>
  </si>
  <si>
    <t>Ejercicio 2.2: práctica de alumnos — Control inteligente de facturas</t>
  </si>
  <si>
    <t>Resolver Dudas</t>
  </si>
  <si>
    <t>Preguntas de Alumnos</t>
  </si>
  <si>
    <t>Ejercicio 2.3: explicación del resultado esperado — De Excel a dashboard ejecutivo</t>
  </si>
  <si>
    <t>Ejercicio 2.3: demostración del profesor —De Excel a dashboard ejecutivo</t>
  </si>
  <si>
    <t>Ejercicio 2.3: práctica de alumnos — De Excel a dashboard ejecutivo</t>
  </si>
  <si>
    <t>ChatGPT</t>
  </si>
  <si>
    <t>Claude</t>
  </si>
  <si>
    <t xml:space="preserve">Cierre y preguntas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</si>
</sst>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1"/>
      <color rgb="FF4B0082"/>
      <name val="Carlito"/>
    </font>
    <font>
      <b/>
      <sz val="11"/>
      <color rgb="FF1F2937"/>
      <name val="Carlito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vertical="top" wrapText="1"/>
    </xf>
    <xf numFmtId="0" fontId="2" fillId="8" borderId="2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  <xf numFmtId="1" fontId="2" fillId="4" borderId="2" xfId="0" applyNumberFormat="1" applyFont="1" applyFill="1" applyBorder="1" applyAlignment="1">
      <alignment horizontal="center" vertical="top" wrapText="1"/>
    </xf>
    <xf numFmtId="1" fontId="2" fillId="5" borderId="2" xfId="0" applyNumberFormat="1" applyFont="1" applyFill="1" applyBorder="1" applyAlignment="1">
      <alignment horizontal="center" vertical="top" wrapText="1"/>
    </xf>
    <xf numFmtId="1" fontId="2" fillId="6" borderId="2" xfId="0" applyNumberFormat="1" applyFont="1" applyFill="1" applyBorder="1" applyAlignment="1">
      <alignment horizontal="center" vertical="top" wrapText="1"/>
    </xf>
    <xf numFmtId="1" fontId="2" fillId="7" borderId="2" xfId="0" applyNumberFormat="1" applyFont="1" applyFill="1" applyBorder="1" applyAlignment="1">
      <alignment horizontal="center" vertical="top" wrapText="1"/>
    </xf>
    <xf numFmtId="1" fontId="2" fillId="8" borderId="2" xfId="0" applyNumberFormat="1" applyFont="1" applyFill="1" applyBorder="1" applyAlignment="1">
      <alignment horizontal="center" vertical="top" wrapText="1"/>
    </xf>
    <xf numFmtId="1" fontId="2" fillId="9" borderId="2" xfId="0" applyNumberFormat="1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top" wrapText="1"/>
    </xf>
    <xf numFmtId="0" fontId="2" fillId="4" borderId="2" xfId="0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right" vertical="top" wrapText="1"/>
    </xf>
    <xf numFmtId="0" fontId="2" fillId="6" borderId="2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2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opLeftCell="A2" workbookViewId="0">
      <selection activeCell="F2" sqref="F2"/>
    </sheetView>
  </sheetViews>
  <sheetFormatPr baseColWidth="10" defaultColWidth="8.796875" defaultRowHeight="13.8"/>
  <cols>
    <col min="1" max="1" width="34.8984375" customWidth="1"/>
    <col min="2" max="2" width="28" customWidth="1"/>
    <col min="3" max="3" width="15" customWidth="1"/>
    <col min="4" max="4" width="16" customWidth="1"/>
    <col min="5" max="5" width="23" customWidth="1"/>
    <col min="6" max="6" width="40" customWidth="1"/>
    <col min="7" max="7" width="5" customWidth="1"/>
  </cols>
  <sheetData>
    <row r="1" spans="1:7">
      <c r="A1" s="13" t="s">
        <v>0</v>
      </c>
      <c r="B1" s="13"/>
      <c r="C1" s="13"/>
      <c r="D1" s="13"/>
      <c r="E1" s="13"/>
      <c r="F1" s="13"/>
      <c r="G1" s="13"/>
    </row>
    <row r="2" spans="1:7" ht="27.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/>
    </row>
    <row r="3" spans="1:7" ht="69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/>
    </row>
    <row r="4" spans="1:7" ht="55.2">
      <c r="A4" s="5" t="s">
        <v>13</v>
      </c>
      <c r="B4" s="5" t="s">
        <v>14</v>
      </c>
      <c r="C4" s="5"/>
      <c r="D4" s="5"/>
      <c r="E4" s="5"/>
      <c r="F4" s="5"/>
      <c r="G4" s="5"/>
    </row>
    <row r="5" spans="1:7">
      <c r="A5" s="6"/>
      <c r="B5" s="6"/>
      <c r="C5" s="6"/>
      <c r="D5" s="6"/>
      <c r="E5" s="6"/>
      <c r="F5" s="6"/>
      <c r="G5" s="6"/>
    </row>
    <row r="6" spans="1:7">
      <c r="A6" s="4" t="s">
        <v>15</v>
      </c>
      <c r="B6" s="4" t="s">
        <v>16</v>
      </c>
      <c r="C6" s="4" t="s">
        <v>17</v>
      </c>
      <c r="D6" s="6"/>
      <c r="E6" s="6"/>
      <c r="F6" s="6"/>
      <c r="G6" s="6"/>
    </row>
    <row r="7" spans="1:7" ht="27.6">
      <c r="A7" s="5" t="s">
        <v>18</v>
      </c>
      <c r="B7" s="5">
        <f>COUNTA(B18:B25)</f>
        <v>7</v>
      </c>
      <c r="C7" s="5" t="s">
        <v>19</v>
      </c>
      <c r="D7" s="6"/>
      <c r="E7" s="6"/>
      <c r="F7" s="6"/>
      <c r="G7" s="6"/>
    </row>
    <row r="8" spans="1:7">
      <c r="A8" s="5" t="s">
        <v>20</v>
      </c>
      <c r="B8" s="5">
        <f>SUM('Planificación 8 Clases'!H:H)/60</f>
        <v>12</v>
      </c>
      <c r="C8" s="5" t="s">
        <v>21</v>
      </c>
      <c r="D8" s="6"/>
      <c r="E8" s="6"/>
      <c r="F8" s="6"/>
      <c r="G8" s="6"/>
    </row>
    <row r="9" spans="1:7" ht="27.6">
      <c r="A9" s="5" t="s">
        <v>22</v>
      </c>
      <c r="B9" s="5">
        <f>SUMIF('Planificación 8 Clases'!E:E,"Ejercicio - práctica alumnos",'Planificación 8 Clases'!H:H)+SUMIF('Planificación 8 Clases'!E:E,"Trabajo en grupo",'Planificación 8 Clases'!H:H)</f>
        <v>205</v>
      </c>
      <c r="C9" s="5" t="s">
        <v>23</v>
      </c>
      <c r="D9" s="6"/>
      <c r="E9" s="6"/>
      <c r="F9" s="6"/>
      <c r="G9" s="6"/>
    </row>
    <row r="10" spans="1:7" ht="27.6">
      <c r="A10" s="5" t="s">
        <v>24</v>
      </c>
      <c r="B10" s="5">
        <f>COUNTA('Matriz Ejercicios'!B:B)-1</f>
        <v>17</v>
      </c>
      <c r="C10" s="5" t="s">
        <v>25</v>
      </c>
      <c r="D10" s="6"/>
      <c r="E10" s="6"/>
      <c r="F10" s="6"/>
      <c r="G10" s="6"/>
    </row>
    <row r="11" spans="1:7">
      <c r="A11" s="6"/>
      <c r="B11" s="6"/>
      <c r="C11" s="6"/>
      <c r="D11" s="6"/>
      <c r="E11" s="6"/>
      <c r="F11" s="6"/>
      <c r="G11" s="6"/>
    </row>
    <row r="12" spans="1:7" ht="27.6">
      <c r="A12" s="4" t="s">
        <v>26</v>
      </c>
      <c r="B12" s="4" t="s">
        <v>27</v>
      </c>
      <c r="C12" s="4" t="s">
        <v>28</v>
      </c>
      <c r="D12" s="4" t="s">
        <v>29</v>
      </c>
      <c r="E12" s="4" t="s">
        <v>30</v>
      </c>
      <c r="F12" s="6"/>
      <c r="G12" s="6"/>
    </row>
    <row r="13" spans="1:7" ht="41.4">
      <c r="A13" s="5" t="s">
        <v>31</v>
      </c>
      <c r="B13" s="5" t="s">
        <v>32</v>
      </c>
      <c r="C13" s="5" t="s">
        <v>33</v>
      </c>
      <c r="D13" s="5" t="s">
        <v>34</v>
      </c>
      <c r="E13" s="5" t="s">
        <v>35</v>
      </c>
      <c r="F13" s="6"/>
      <c r="G13" s="6"/>
    </row>
    <row r="14" spans="1:7" ht="27.6">
      <c r="A14" s="5" t="s">
        <v>36</v>
      </c>
      <c r="B14" s="5" t="s">
        <v>37</v>
      </c>
      <c r="C14" s="5" t="s">
        <v>38</v>
      </c>
      <c r="D14" s="5" t="s">
        <v>34</v>
      </c>
      <c r="E14" s="5" t="s">
        <v>39</v>
      </c>
      <c r="F14" s="6"/>
      <c r="G14" s="6"/>
    </row>
    <row r="15" spans="1:7" ht="27.6">
      <c r="A15" s="5" t="s">
        <v>40</v>
      </c>
      <c r="B15" s="5" t="s">
        <v>41</v>
      </c>
      <c r="C15" s="5" t="s">
        <v>42</v>
      </c>
      <c r="D15" s="5" t="s">
        <v>34</v>
      </c>
      <c r="E15" s="5" t="s">
        <v>43</v>
      </c>
      <c r="F15" s="6"/>
      <c r="G15" s="6"/>
    </row>
    <row r="16" spans="1:7" ht="27.6">
      <c r="A16" s="5" t="s">
        <v>44</v>
      </c>
      <c r="B16" s="5" t="s">
        <v>45</v>
      </c>
      <c r="C16" s="5" t="s">
        <v>46</v>
      </c>
      <c r="D16" s="5" t="s">
        <v>34</v>
      </c>
      <c r="E16" s="5" t="s">
        <v>47</v>
      </c>
      <c r="F16" s="6"/>
      <c r="G16" s="6"/>
    </row>
    <row r="17" spans="1:7" ht="27.6">
      <c r="A17" s="5" t="s">
        <v>48</v>
      </c>
      <c r="B17" s="5" t="s">
        <v>49</v>
      </c>
      <c r="C17" s="5" t="s">
        <v>50</v>
      </c>
      <c r="D17" s="5" t="s">
        <v>34</v>
      </c>
      <c r="E17" s="5" t="s">
        <v>51</v>
      </c>
      <c r="F17" s="6"/>
      <c r="G17" s="6"/>
    </row>
    <row r="18" spans="1:7" ht="41.4">
      <c r="A18" s="5" t="s">
        <v>52</v>
      </c>
      <c r="B18" s="5" t="s">
        <v>41</v>
      </c>
      <c r="C18" s="5" t="s">
        <v>53</v>
      </c>
      <c r="D18" s="5" t="s">
        <v>54</v>
      </c>
      <c r="E18" s="5" t="s">
        <v>55</v>
      </c>
      <c r="F18" s="6"/>
      <c r="G18" s="6"/>
    </row>
    <row r="19" spans="1:7" ht="12" customHeight="1">
      <c r="A19" s="6"/>
      <c r="B19" s="6"/>
      <c r="C19" s="6"/>
      <c r="D19" s="6"/>
      <c r="E19" s="6"/>
      <c r="F19" s="6"/>
      <c r="G19" s="6"/>
    </row>
    <row r="20" spans="1:7" ht="12" customHeight="1">
      <c r="A20" s="4" t="s">
        <v>56</v>
      </c>
      <c r="B20" s="4" t="s">
        <v>57</v>
      </c>
      <c r="C20" s="4" t="s">
        <v>58</v>
      </c>
      <c r="D20" s="4" t="s">
        <v>59</v>
      </c>
      <c r="E20" s="4" t="s">
        <v>60</v>
      </c>
      <c r="F20" s="4" t="s">
        <v>61</v>
      </c>
      <c r="G20" s="4"/>
    </row>
    <row r="21" spans="1:7" ht="21.45" customHeight="1">
      <c r="A21" s="5">
        <v>1</v>
      </c>
      <c r="B21" s="5" t="s">
        <v>62</v>
      </c>
      <c r="C21" s="8">
        <f t="shared" ref="C21:C28" si="0">D21/60</f>
        <v>1.5</v>
      </c>
      <c r="D21" s="9">
        <f>SUMIF('Planificación 8 Clases'!$A:$A,A21,'Planificación 8 Clases'!$H:$H)</f>
        <v>90</v>
      </c>
      <c r="E21" s="7" t="str">
        <f t="shared" ref="E21:E28" si="1">REPT("█",ROUND(C21*6,0))</f>
        <v>█████████</v>
      </c>
      <c r="F21" s="5" t="s">
        <v>63</v>
      </c>
      <c r="G21" s="5"/>
    </row>
    <row r="22" spans="1:7" ht="12" customHeight="1">
      <c r="A22" s="5">
        <v>2</v>
      </c>
      <c r="B22" s="5" t="s">
        <v>64</v>
      </c>
      <c r="C22" s="8">
        <f t="shared" si="0"/>
        <v>1.5</v>
      </c>
      <c r="D22" s="9">
        <f>SUMIF('Planificación 8 Clases'!$A:$A,A22,'Planificación 8 Clases'!$H:$H)</f>
        <v>90</v>
      </c>
      <c r="E22" s="7" t="str">
        <f t="shared" si="1"/>
        <v>█████████</v>
      </c>
      <c r="F22" s="5" t="s">
        <v>65</v>
      </c>
      <c r="G22" s="5"/>
    </row>
    <row r="23" spans="1:7" ht="12" customHeight="1">
      <c r="A23" s="5">
        <v>3</v>
      </c>
      <c r="B23" s="5" t="s">
        <v>66</v>
      </c>
      <c r="C23" s="8">
        <f t="shared" si="0"/>
        <v>1.5</v>
      </c>
      <c r="D23" s="9">
        <f>SUMIF('Planificación 8 Clases'!$A:$A,A23,'Planificación 8 Clases'!$H:$H)</f>
        <v>90</v>
      </c>
      <c r="E23" s="7" t="str">
        <f t="shared" si="1"/>
        <v>█████████</v>
      </c>
      <c r="F23" s="5" t="s">
        <v>67</v>
      </c>
      <c r="G23" s="5"/>
    </row>
    <row r="24" spans="1:7" ht="12" customHeight="1">
      <c r="A24" s="5">
        <v>4</v>
      </c>
      <c r="B24" s="5" t="s">
        <v>68</v>
      </c>
      <c r="C24" s="8">
        <f t="shared" si="0"/>
        <v>1.5</v>
      </c>
      <c r="D24" s="9">
        <f>SUMIF('Planificación 8 Clases'!$A:$A,A24,'Planificación 8 Clases'!$H:$H)</f>
        <v>90</v>
      </c>
      <c r="E24" s="7" t="str">
        <f t="shared" si="1"/>
        <v>█████████</v>
      </c>
      <c r="F24" s="5" t="s">
        <v>69</v>
      </c>
      <c r="G24" s="5"/>
    </row>
    <row r="25" spans="1:7" ht="12" customHeight="1">
      <c r="A25" s="5">
        <v>5</v>
      </c>
      <c r="B25" s="5" t="s">
        <v>70</v>
      </c>
      <c r="C25" s="8">
        <f t="shared" si="0"/>
        <v>1.5</v>
      </c>
      <c r="D25" s="9">
        <f>SUMIF('Planificación 8 Clases'!$A:$A,A25,'Planificación 8 Clases'!$H:$H)</f>
        <v>90</v>
      </c>
      <c r="E25" s="7" t="str">
        <f t="shared" si="1"/>
        <v>█████████</v>
      </c>
      <c r="F25" s="5" t="s">
        <v>71</v>
      </c>
      <c r="G25" s="5"/>
    </row>
    <row r="26" spans="1:7" ht="12" customHeight="1">
      <c r="A26" s="5">
        <v>6</v>
      </c>
      <c r="B26" s="5" t="s">
        <v>72</v>
      </c>
      <c r="C26" s="8">
        <f t="shared" si="0"/>
        <v>1.5</v>
      </c>
      <c r="D26" s="9">
        <f>SUMIF('Planificación 8 Clases'!$A:$A,A26,'Planificación 8 Clases'!$H:$H)</f>
        <v>90</v>
      </c>
      <c r="E26" s="7" t="str">
        <f t="shared" si="1"/>
        <v>█████████</v>
      </c>
      <c r="F26" s="5" t="s">
        <v>73</v>
      </c>
      <c r="G26" s="5"/>
    </row>
    <row r="27" spans="1:7" ht="12" customHeight="1">
      <c r="A27" s="5">
        <v>7</v>
      </c>
      <c r="B27" s="5" t="s">
        <v>74</v>
      </c>
      <c r="C27" s="8">
        <f t="shared" si="0"/>
        <v>1.5</v>
      </c>
      <c r="D27" s="9">
        <f>SUMIF('Planificación 8 Clases'!$A:$A,A27,'Planificación 8 Clases'!$H:$H)</f>
        <v>90</v>
      </c>
      <c r="E27" s="7" t="str">
        <f t="shared" si="1"/>
        <v>█████████</v>
      </c>
      <c r="F27" s="5" t="s">
        <v>75</v>
      </c>
      <c r="G27" s="5"/>
    </row>
    <row r="28" spans="1:7" ht="12" customHeight="1">
      <c r="A28" s="5">
        <v>8</v>
      </c>
      <c r="B28" s="5" t="s">
        <v>76</v>
      </c>
      <c r="C28" s="8">
        <f t="shared" si="0"/>
        <v>1.5</v>
      </c>
      <c r="D28" s="9">
        <f>SUMIF('Planificación 8 Clases'!$A:$A,A28,'Planificación 8 Clases'!$H:$H)</f>
        <v>90</v>
      </c>
      <c r="E28" s="7" t="str">
        <f t="shared" si="1"/>
        <v>█████████</v>
      </c>
      <c r="F28" s="5" t="s">
        <v>77</v>
      </c>
      <c r="G28" s="5"/>
    </row>
    <row r="29" spans="1:7" ht="12" customHeight="1">
      <c r="A29" s="6"/>
      <c r="B29" s="6"/>
      <c r="C29" s="6"/>
      <c r="D29" s="6"/>
      <c r="E29" s="6"/>
      <c r="F29" s="6"/>
      <c r="G29" s="6"/>
    </row>
    <row r="30" spans="1:7" ht="42.9" customHeight="1">
      <c r="A30" s="14" t="s">
        <v>78</v>
      </c>
      <c r="B30" s="14" t="s">
        <v>79</v>
      </c>
      <c r="C30" s="14"/>
      <c r="D30" s="14"/>
      <c r="E30" s="14"/>
      <c r="F30" s="14"/>
      <c r="G30" s="14"/>
    </row>
  </sheetData>
  <mergeCells count="2">
    <mergeCell ref="A1:G1"/>
    <mergeCell ref="A30:G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tabSelected="1" topLeftCell="A17" workbookViewId="0">
      <selection activeCell="I10" sqref="I10"/>
    </sheetView>
  </sheetViews>
  <sheetFormatPr baseColWidth="10" defaultColWidth="8.796875" defaultRowHeight="13.8"/>
  <cols>
    <col min="1" max="1" width="5.8984375" bestFit="1" customWidth="1"/>
    <col min="2" max="2" width="48.19921875" bestFit="1" customWidth="1"/>
    <col min="3" max="3" width="10" style="50" customWidth="1"/>
    <col min="4" max="4" width="50.5" customWidth="1"/>
    <col min="5" max="5" width="23" customWidth="1"/>
    <col min="6" max="7" width="10" style="16" customWidth="1"/>
    <col min="8" max="8" width="13" style="41" customWidth="1"/>
    <col min="9" max="9" width="30" customWidth="1"/>
  </cols>
  <sheetData>
    <row r="1" spans="1:9">
      <c r="A1" s="18" t="s">
        <v>56</v>
      </c>
      <c r="B1" s="18" t="s">
        <v>80</v>
      </c>
      <c r="C1" s="42" t="s">
        <v>81</v>
      </c>
      <c r="D1" s="18" t="s">
        <v>82</v>
      </c>
      <c r="E1" s="18" t="s">
        <v>83</v>
      </c>
      <c r="F1" s="18" t="s">
        <v>84</v>
      </c>
      <c r="G1" s="18" t="s">
        <v>85</v>
      </c>
      <c r="H1" s="19" t="s">
        <v>86</v>
      </c>
      <c r="I1" s="18" t="s">
        <v>87</v>
      </c>
    </row>
    <row r="2" spans="1:9" ht="27.6">
      <c r="A2" s="20">
        <v>1</v>
      </c>
      <c r="B2" s="20" t="s">
        <v>62</v>
      </c>
      <c r="C2" s="43"/>
      <c r="D2" s="20" t="s">
        <v>90</v>
      </c>
      <c r="E2" s="20" t="s">
        <v>84</v>
      </c>
      <c r="F2" s="21" t="s">
        <v>91</v>
      </c>
      <c r="G2" s="21" t="s">
        <v>92</v>
      </c>
      <c r="H2" s="34">
        <v>20</v>
      </c>
      <c r="I2" s="20"/>
    </row>
    <row r="3" spans="1:9" ht="27.6">
      <c r="A3" s="20">
        <v>1</v>
      </c>
      <c r="B3" s="20" t="s">
        <v>62</v>
      </c>
      <c r="C3" s="43"/>
      <c r="D3" s="20" t="s">
        <v>93</v>
      </c>
      <c r="E3" s="20" t="s">
        <v>94</v>
      </c>
      <c r="F3" s="21" t="s">
        <v>92</v>
      </c>
      <c r="G3" s="21" t="s">
        <v>95</v>
      </c>
      <c r="H3" s="34">
        <v>20</v>
      </c>
      <c r="I3" s="20"/>
    </row>
    <row r="4" spans="1:9">
      <c r="A4" s="20">
        <v>1</v>
      </c>
      <c r="B4" s="20" t="s">
        <v>62</v>
      </c>
      <c r="C4" s="43"/>
      <c r="D4" s="20" t="s">
        <v>442</v>
      </c>
      <c r="E4" s="20" t="s">
        <v>96</v>
      </c>
      <c r="F4" s="21" t="s">
        <v>95</v>
      </c>
      <c r="G4" s="21" t="s">
        <v>97</v>
      </c>
      <c r="H4" s="34">
        <v>15</v>
      </c>
      <c r="I4" s="22" t="s">
        <v>456</v>
      </c>
    </row>
    <row r="5" spans="1:9">
      <c r="A5" s="20">
        <v>1</v>
      </c>
      <c r="B5" s="20" t="s">
        <v>62</v>
      </c>
      <c r="C5" s="43"/>
      <c r="D5" s="20" t="s">
        <v>443</v>
      </c>
      <c r="E5" s="20" t="s">
        <v>96</v>
      </c>
      <c r="F5" s="21" t="s">
        <v>97</v>
      </c>
      <c r="G5" s="21" t="s">
        <v>98</v>
      </c>
      <c r="H5" s="34">
        <v>15</v>
      </c>
      <c r="I5" s="22" t="s">
        <v>457</v>
      </c>
    </row>
    <row r="6" spans="1:9" ht="27.6">
      <c r="A6" s="20">
        <v>1</v>
      </c>
      <c r="B6" s="20" t="s">
        <v>62</v>
      </c>
      <c r="C6" s="43"/>
      <c r="D6" s="20" t="s">
        <v>444</v>
      </c>
      <c r="E6" s="20" t="s">
        <v>96</v>
      </c>
      <c r="F6" s="21" t="s">
        <v>98</v>
      </c>
      <c r="G6" s="21" t="s">
        <v>100</v>
      </c>
      <c r="H6" s="34">
        <v>15</v>
      </c>
      <c r="I6" s="20" t="s">
        <v>101</v>
      </c>
    </row>
    <row r="7" spans="1:9">
      <c r="A7" s="20">
        <v>1</v>
      </c>
      <c r="B7" s="20" t="s">
        <v>62</v>
      </c>
      <c r="C7" s="43"/>
      <c r="D7" s="20" t="s">
        <v>458</v>
      </c>
      <c r="E7" s="53" t="s">
        <v>452</v>
      </c>
      <c r="F7" s="21" t="s">
        <v>100</v>
      </c>
      <c r="G7" s="21" t="s">
        <v>102</v>
      </c>
      <c r="H7" s="34">
        <v>5</v>
      </c>
      <c r="I7" s="20"/>
    </row>
    <row r="8" spans="1:9">
      <c r="A8" s="22">
        <v>2</v>
      </c>
      <c r="B8" s="22" t="s">
        <v>103</v>
      </c>
      <c r="C8" s="44"/>
      <c r="D8" s="22" t="s">
        <v>104</v>
      </c>
      <c r="E8" s="22" t="s">
        <v>84</v>
      </c>
      <c r="F8" s="23" t="s">
        <v>91</v>
      </c>
      <c r="G8" s="23" t="s">
        <v>105</v>
      </c>
      <c r="H8" s="35">
        <v>5</v>
      </c>
      <c r="I8" s="22" t="s">
        <v>106</v>
      </c>
    </row>
    <row r="9" spans="1:9" ht="27.6">
      <c r="A9" s="22">
        <v>2</v>
      </c>
      <c r="B9" s="22" t="s">
        <v>103</v>
      </c>
      <c r="C9" s="44" t="s">
        <v>108</v>
      </c>
      <c r="D9" s="22" t="s">
        <v>445</v>
      </c>
      <c r="E9" s="22" t="s">
        <v>109</v>
      </c>
      <c r="F9" s="23" t="s">
        <v>105</v>
      </c>
      <c r="G9" s="23" t="s">
        <v>107</v>
      </c>
      <c r="H9" s="35">
        <v>10</v>
      </c>
      <c r="I9" s="22" t="s">
        <v>456</v>
      </c>
    </row>
    <row r="10" spans="1:9" ht="27.6">
      <c r="A10" s="22">
        <v>2</v>
      </c>
      <c r="B10" s="22" t="s">
        <v>103</v>
      </c>
      <c r="C10" s="44" t="s">
        <v>108</v>
      </c>
      <c r="D10" s="22" t="s">
        <v>446</v>
      </c>
      <c r="E10" s="22" t="s">
        <v>111</v>
      </c>
      <c r="F10" s="23" t="s">
        <v>107</v>
      </c>
      <c r="G10" s="23" t="s">
        <v>92</v>
      </c>
      <c r="H10" s="35">
        <v>5</v>
      </c>
      <c r="I10" s="22" t="s">
        <v>456</v>
      </c>
    </row>
    <row r="11" spans="1:9" ht="27.6">
      <c r="A11" s="22">
        <v>2</v>
      </c>
      <c r="B11" s="22" t="s">
        <v>103</v>
      </c>
      <c r="C11" s="44" t="s">
        <v>108</v>
      </c>
      <c r="D11" s="22" t="s">
        <v>447</v>
      </c>
      <c r="E11" s="22" t="s">
        <v>113</v>
      </c>
      <c r="F11" s="23" t="s">
        <v>92</v>
      </c>
      <c r="G11" s="23" t="s">
        <v>112</v>
      </c>
      <c r="H11" s="35">
        <v>10</v>
      </c>
      <c r="I11" s="22" t="s">
        <v>456</v>
      </c>
    </row>
    <row r="12" spans="1:9" ht="27.6">
      <c r="A12" s="22">
        <v>2</v>
      </c>
      <c r="B12" s="22" t="s">
        <v>103</v>
      </c>
      <c r="C12" s="44" t="s">
        <v>114</v>
      </c>
      <c r="D12" s="22" t="s">
        <v>448</v>
      </c>
      <c r="E12" s="22" t="s">
        <v>109</v>
      </c>
      <c r="F12" s="23" t="s">
        <v>112</v>
      </c>
      <c r="G12" s="23" t="s">
        <v>95</v>
      </c>
      <c r="H12" s="35">
        <v>10</v>
      </c>
      <c r="I12" s="22" t="s">
        <v>456</v>
      </c>
    </row>
    <row r="13" spans="1:9" ht="27.6">
      <c r="A13" s="22">
        <v>2</v>
      </c>
      <c r="B13" s="22" t="s">
        <v>103</v>
      </c>
      <c r="C13" s="44" t="s">
        <v>114</v>
      </c>
      <c r="D13" s="22" t="s">
        <v>449</v>
      </c>
      <c r="E13" s="22" t="s">
        <v>111</v>
      </c>
      <c r="F13" s="23" t="s">
        <v>95</v>
      </c>
      <c r="G13" s="23" t="s">
        <v>115</v>
      </c>
      <c r="H13" s="35">
        <v>5</v>
      </c>
      <c r="I13" s="22" t="s">
        <v>456</v>
      </c>
    </row>
    <row r="14" spans="1:9" ht="27.6">
      <c r="A14" s="22">
        <v>2</v>
      </c>
      <c r="B14" s="22" t="s">
        <v>103</v>
      </c>
      <c r="C14" s="44" t="s">
        <v>114</v>
      </c>
      <c r="D14" s="22" t="s">
        <v>450</v>
      </c>
      <c r="E14" s="22" t="s">
        <v>113</v>
      </c>
      <c r="F14" s="23" t="s">
        <v>115</v>
      </c>
      <c r="G14" s="23" t="s">
        <v>97</v>
      </c>
      <c r="H14" s="35">
        <v>10</v>
      </c>
      <c r="I14" s="22" t="s">
        <v>456</v>
      </c>
    </row>
    <row r="15" spans="1:9" ht="27.6">
      <c r="A15" s="22">
        <v>2</v>
      </c>
      <c r="B15" s="22" t="s">
        <v>103</v>
      </c>
      <c r="C15" s="44" t="s">
        <v>118</v>
      </c>
      <c r="D15" s="22" t="s">
        <v>453</v>
      </c>
      <c r="E15" s="22" t="s">
        <v>109</v>
      </c>
      <c r="F15" s="23" t="s">
        <v>97</v>
      </c>
      <c r="G15" s="23" t="s">
        <v>117</v>
      </c>
      <c r="H15" s="35">
        <v>10</v>
      </c>
      <c r="I15" s="22" t="s">
        <v>457</v>
      </c>
    </row>
    <row r="16" spans="1:9" ht="27.6">
      <c r="A16" s="22">
        <v>2</v>
      </c>
      <c r="B16" s="22" t="s">
        <v>103</v>
      </c>
      <c r="C16" s="44" t="s">
        <v>118</v>
      </c>
      <c r="D16" s="22" t="s">
        <v>454</v>
      </c>
      <c r="E16" s="22" t="s">
        <v>111</v>
      </c>
      <c r="F16" s="23" t="s">
        <v>117</v>
      </c>
      <c r="G16" s="23" t="s">
        <v>98</v>
      </c>
      <c r="H16" s="35">
        <v>5</v>
      </c>
      <c r="I16" s="22" t="s">
        <v>457</v>
      </c>
    </row>
    <row r="17" spans="1:9" ht="27.6">
      <c r="A17" s="22">
        <v>2</v>
      </c>
      <c r="B17" s="22" t="s">
        <v>103</v>
      </c>
      <c r="C17" s="44" t="s">
        <v>118</v>
      </c>
      <c r="D17" s="22" t="s">
        <v>455</v>
      </c>
      <c r="E17" s="22" t="s">
        <v>113</v>
      </c>
      <c r="F17" s="23" t="s">
        <v>98</v>
      </c>
      <c r="G17" s="23" t="s">
        <v>119</v>
      </c>
      <c r="H17" s="35">
        <v>10</v>
      </c>
      <c r="I17" s="22" t="s">
        <v>457</v>
      </c>
    </row>
    <row r="18" spans="1:9">
      <c r="A18" s="22">
        <v>2</v>
      </c>
      <c r="B18" s="22" t="s">
        <v>103</v>
      </c>
      <c r="C18" s="51"/>
      <c r="D18" s="52" t="s">
        <v>451</v>
      </c>
      <c r="E18" s="52" t="s">
        <v>452</v>
      </c>
      <c r="F18" s="23" t="s">
        <v>119</v>
      </c>
      <c r="G18" s="23" t="s">
        <v>102</v>
      </c>
      <c r="H18" s="35">
        <v>10</v>
      </c>
      <c r="I18" s="22"/>
    </row>
    <row r="19" spans="1:9" ht="27.6">
      <c r="A19" s="24">
        <v>3</v>
      </c>
      <c r="B19" s="24" t="s">
        <v>120</v>
      </c>
      <c r="C19" s="45"/>
      <c r="D19" s="24" t="s">
        <v>121</v>
      </c>
      <c r="E19" s="24" t="s">
        <v>94</v>
      </c>
      <c r="F19" s="25" t="s">
        <v>91</v>
      </c>
      <c r="G19" s="25" t="s">
        <v>122</v>
      </c>
      <c r="H19" s="36">
        <v>10</v>
      </c>
      <c r="I19" s="24" t="s">
        <v>123</v>
      </c>
    </row>
    <row r="20" spans="1:9" ht="41.4">
      <c r="A20" s="24">
        <v>3</v>
      </c>
      <c r="B20" s="24" t="s">
        <v>120</v>
      </c>
      <c r="C20" s="45" t="s">
        <v>124</v>
      </c>
      <c r="D20" s="24" t="s">
        <v>125</v>
      </c>
      <c r="E20" s="24" t="s">
        <v>109</v>
      </c>
      <c r="F20" s="25" t="s">
        <v>122</v>
      </c>
      <c r="G20" s="25" t="s">
        <v>107</v>
      </c>
      <c r="H20" s="36">
        <v>5</v>
      </c>
      <c r="I20" s="24" t="s">
        <v>126</v>
      </c>
    </row>
    <row r="21" spans="1:9" ht="41.4">
      <c r="A21" s="24">
        <v>3</v>
      </c>
      <c r="B21" s="24" t="s">
        <v>120</v>
      </c>
      <c r="C21" s="45" t="s">
        <v>124</v>
      </c>
      <c r="D21" s="24" t="s">
        <v>127</v>
      </c>
      <c r="E21" s="24" t="s">
        <v>111</v>
      </c>
      <c r="F21" s="25" t="s">
        <v>107</v>
      </c>
      <c r="G21" s="25" t="s">
        <v>128</v>
      </c>
      <c r="H21" s="36">
        <v>10</v>
      </c>
      <c r="I21" s="24" t="s">
        <v>126</v>
      </c>
    </row>
    <row r="22" spans="1:9" ht="27.6">
      <c r="A22" s="24">
        <v>3</v>
      </c>
      <c r="B22" s="24" t="s">
        <v>120</v>
      </c>
      <c r="C22" s="45" t="s">
        <v>124</v>
      </c>
      <c r="D22" s="24" t="s">
        <v>129</v>
      </c>
      <c r="E22" s="24" t="s">
        <v>113</v>
      </c>
      <c r="F22" s="25" t="s">
        <v>128</v>
      </c>
      <c r="G22" s="25" t="s">
        <v>130</v>
      </c>
      <c r="H22" s="36">
        <v>10</v>
      </c>
      <c r="I22" s="24" t="s">
        <v>126</v>
      </c>
    </row>
    <row r="23" spans="1:9" ht="41.4">
      <c r="A23" s="24">
        <v>3</v>
      </c>
      <c r="B23" s="24" t="s">
        <v>120</v>
      </c>
      <c r="C23" s="45" t="s">
        <v>131</v>
      </c>
      <c r="D23" s="24" t="s">
        <v>132</v>
      </c>
      <c r="E23" s="24" t="s">
        <v>109</v>
      </c>
      <c r="F23" s="25" t="s">
        <v>130</v>
      </c>
      <c r="G23" s="25" t="s">
        <v>95</v>
      </c>
      <c r="H23" s="36">
        <v>5</v>
      </c>
      <c r="I23" s="24" t="s">
        <v>133</v>
      </c>
    </row>
    <row r="24" spans="1:9" ht="41.4">
      <c r="A24" s="24">
        <v>3</v>
      </c>
      <c r="B24" s="24" t="s">
        <v>120</v>
      </c>
      <c r="C24" s="45" t="s">
        <v>131</v>
      </c>
      <c r="D24" s="24" t="s">
        <v>134</v>
      </c>
      <c r="E24" s="24" t="s">
        <v>111</v>
      </c>
      <c r="F24" s="25" t="s">
        <v>95</v>
      </c>
      <c r="G24" s="25" t="s">
        <v>135</v>
      </c>
      <c r="H24" s="36">
        <v>10</v>
      </c>
      <c r="I24" s="24" t="s">
        <v>133</v>
      </c>
    </row>
    <row r="25" spans="1:9" ht="41.4">
      <c r="A25" s="24">
        <v>3</v>
      </c>
      <c r="B25" s="24" t="s">
        <v>120</v>
      </c>
      <c r="C25" s="45" t="s">
        <v>131</v>
      </c>
      <c r="D25" s="24" t="s">
        <v>136</v>
      </c>
      <c r="E25" s="24" t="s">
        <v>113</v>
      </c>
      <c r="F25" s="25" t="s">
        <v>135</v>
      </c>
      <c r="G25" s="25" t="s">
        <v>137</v>
      </c>
      <c r="H25" s="36">
        <v>10</v>
      </c>
      <c r="I25" s="24" t="s">
        <v>133</v>
      </c>
    </row>
    <row r="26" spans="1:9" ht="41.4">
      <c r="A26" s="24">
        <v>3</v>
      </c>
      <c r="B26" s="24" t="s">
        <v>120</v>
      </c>
      <c r="C26" s="45" t="s">
        <v>138</v>
      </c>
      <c r="D26" s="24" t="s">
        <v>139</v>
      </c>
      <c r="E26" s="24" t="s">
        <v>109</v>
      </c>
      <c r="F26" s="25" t="s">
        <v>137</v>
      </c>
      <c r="G26" s="25" t="s">
        <v>117</v>
      </c>
      <c r="H26" s="36">
        <v>5</v>
      </c>
      <c r="I26" s="24" t="s">
        <v>140</v>
      </c>
    </row>
    <row r="27" spans="1:9" ht="41.4">
      <c r="A27" s="24">
        <v>3</v>
      </c>
      <c r="B27" s="24" t="s">
        <v>120</v>
      </c>
      <c r="C27" s="45" t="s">
        <v>138</v>
      </c>
      <c r="D27" s="24" t="s">
        <v>141</v>
      </c>
      <c r="E27" s="24" t="s">
        <v>111</v>
      </c>
      <c r="F27" s="25" t="s">
        <v>117</v>
      </c>
      <c r="G27" s="25" t="s">
        <v>142</v>
      </c>
      <c r="H27" s="36">
        <v>10</v>
      </c>
      <c r="I27" s="24" t="s">
        <v>140</v>
      </c>
    </row>
    <row r="28" spans="1:9" ht="27.6">
      <c r="A28" s="24">
        <v>3</v>
      </c>
      <c r="B28" s="24" t="s">
        <v>120</v>
      </c>
      <c r="C28" s="45" t="s">
        <v>138</v>
      </c>
      <c r="D28" s="24" t="s">
        <v>143</v>
      </c>
      <c r="E28" s="24" t="s">
        <v>113</v>
      </c>
      <c r="F28" s="25" t="s">
        <v>142</v>
      </c>
      <c r="G28" s="25" t="s">
        <v>100</v>
      </c>
      <c r="H28" s="36">
        <v>10</v>
      </c>
      <c r="I28" s="24" t="s">
        <v>140</v>
      </c>
    </row>
    <row r="29" spans="1:9" ht="27.6">
      <c r="A29" s="24">
        <v>3</v>
      </c>
      <c r="B29" s="24" t="s">
        <v>120</v>
      </c>
      <c r="C29" s="45"/>
      <c r="D29" s="24" t="s">
        <v>144</v>
      </c>
      <c r="E29" s="24" t="s">
        <v>145</v>
      </c>
      <c r="F29" s="25" t="s">
        <v>100</v>
      </c>
      <c r="G29" s="25" t="s">
        <v>102</v>
      </c>
      <c r="H29" s="36">
        <v>5</v>
      </c>
      <c r="I29" s="24" t="s">
        <v>146</v>
      </c>
    </row>
    <row r="30" spans="1:9" ht="27.6">
      <c r="A30" s="26">
        <v>4</v>
      </c>
      <c r="B30" s="26" t="s">
        <v>147</v>
      </c>
      <c r="C30" s="46"/>
      <c r="D30" s="26" t="s">
        <v>148</v>
      </c>
      <c r="E30" s="26" t="s">
        <v>84</v>
      </c>
      <c r="F30" s="27" t="s">
        <v>91</v>
      </c>
      <c r="G30" s="27" t="s">
        <v>149</v>
      </c>
      <c r="H30" s="37">
        <v>8</v>
      </c>
      <c r="I30" s="26" t="s">
        <v>101</v>
      </c>
    </row>
    <row r="31" spans="1:9" ht="41.4">
      <c r="A31" s="26">
        <v>4</v>
      </c>
      <c r="B31" s="26" t="s">
        <v>147</v>
      </c>
      <c r="C31" s="46" t="s">
        <v>150</v>
      </c>
      <c r="D31" s="26" t="s">
        <v>151</v>
      </c>
      <c r="E31" s="26" t="s">
        <v>109</v>
      </c>
      <c r="F31" s="27" t="s">
        <v>149</v>
      </c>
      <c r="G31" s="27" t="s">
        <v>152</v>
      </c>
      <c r="H31" s="37">
        <v>3</v>
      </c>
      <c r="I31" s="26" t="s">
        <v>153</v>
      </c>
    </row>
    <row r="32" spans="1:9" ht="41.4">
      <c r="A32" s="26">
        <v>4</v>
      </c>
      <c r="B32" s="26" t="s">
        <v>147</v>
      </c>
      <c r="C32" s="46" t="s">
        <v>150</v>
      </c>
      <c r="D32" s="26" t="s">
        <v>154</v>
      </c>
      <c r="E32" s="26" t="s">
        <v>111</v>
      </c>
      <c r="F32" s="27" t="s">
        <v>152</v>
      </c>
      <c r="G32" s="27" t="s">
        <v>155</v>
      </c>
      <c r="H32" s="37">
        <v>5</v>
      </c>
      <c r="I32" s="26" t="s">
        <v>153</v>
      </c>
    </row>
    <row r="33" spans="1:9" ht="41.4">
      <c r="A33" s="26">
        <v>4</v>
      </c>
      <c r="B33" s="26" t="s">
        <v>147</v>
      </c>
      <c r="C33" s="46" t="s">
        <v>150</v>
      </c>
      <c r="D33" s="26" t="s">
        <v>156</v>
      </c>
      <c r="E33" s="26" t="s">
        <v>113</v>
      </c>
      <c r="F33" s="27" t="s">
        <v>155</v>
      </c>
      <c r="G33" s="27" t="s">
        <v>157</v>
      </c>
      <c r="H33" s="37">
        <v>10</v>
      </c>
      <c r="I33" s="26" t="s">
        <v>153</v>
      </c>
    </row>
    <row r="34" spans="1:9" ht="41.4">
      <c r="A34" s="26">
        <v>4</v>
      </c>
      <c r="B34" s="26" t="s">
        <v>147</v>
      </c>
      <c r="C34" s="46" t="s">
        <v>158</v>
      </c>
      <c r="D34" s="26" t="s">
        <v>159</v>
      </c>
      <c r="E34" s="26" t="s">
        <v>109</v>
      </c>
      <c r="F34" s="27" t="s">
        <v>157</v>
      </c>
      <c r="G34" s="27" t="s">
        <v>160</v>
      </c>
      <c r="H34" s="37">
        <v>3</v>
      </c>
      <c r="I34" s="26" t="s">
        <v>161</v>
      </c>
    </row>
    <row r="35" spans="1:9" ht="41.4">
      <c r="A35" s="26">
        <v>4</v>
      </c>
      <c r="B35" s="26" t="s">
        <v>147</v>
      </c>
      <c r="C35" s="46" t="s">
        <v>158</v>
      </c>
      <c r="D35" s="26" t="s">
        <v>162</v>
      </c>
      <c r="E35" s="26" t="s">
        <v>111</v>
      </c>
      <c r="F35" s="27" t="s">
        <v>160</v>
      </c>
      <c r="G35" s="27" t="s">
        <v>163</v>
      </c>
      <c r="H35" s="37">
        <v>5</v>
      </c>
      <c r="I35" s="26" t="s">
        <v>161</v>
      </c>
    </row>
    <row r="36" spans="1:9" ht="27.6">
      <c r="A36" s="26">
        <v>4</v>
      </c>
      <c r="B36" s="26" t="s">
        <v>147</v>
      </c>
      <c r="C36" s="46" t="s">
        <v>158</v>
      </c>
      <c r="D36" s="26" t="s">
        <v>164</v>
      </c>
      <c r="E36" s="26" t="s">
        <v>113</v>
      </c>
      <c r="F36" s="27" t="s">
        <v>163</v>
      </c>
      <c r="G36" s="27" t="s">
        <v>165</v>
      </c>
      <c r="H36" s="37">
        <v>10</v>
      </c>
      <c r="I36" s="26" t="s">
        <v>161</v>
      </c>
    </row>
    <row r="37" spans="1:9" ht="41.4">
      <c r="A37" s="26">
        <v>4</v>
      </c>
      <c r="B37" s="26" t="s">
        <v>147</v>
      </c>
      <c r="C37" s="46" t="s">
        <v>166</v>
      </c>
      <c r="D37" s="26" t="s">
        <v>167</v>
      </c>
      <c r="E37" s="26" t="s">
        <v>109</v>
      </c>
      <c r="F37" s="27" t="s">
        <v>165</v>
      </c>
      <c r="G37" s="27" t="s">
        <v>168</v>
      </c>
      <c r="H37" s="37">
        <v>3</v>
      </c>
      <c r="I37" s="26" t="s">
        <v>169</v>
      </c>
    </row>
    <row r="38" spans="1:9" ht="41.4">
      <c r="A38" s="26">
        <v>4</v>
      </c>
      <c r="B38" s="26" t="s">
        <v>147</v>
      </c>
      <c r="C38" s="46" t="s">
        <v>166</v>
      </c>
      <c r="D38" s="26" t="s">
        <v>170</v>
      </c>
      <c r="E38" s="26" t="s">
        <v>111</v>
      </c>
      <c r="F38" s="27" t="s">
        <v>168</v>
      </c>
      <c r="G38" s="27" t="s">
        <v>171</v>
      </c>
      <c r="H38" s="37">
        <v>5</v>
      </c>
      <c r="I38" s="26" t="s">
        <v>169</v>
      </c>
    </row>
    <row r="39" spans="1:9" ht="41.4">
      <c r="A39" s="26">
        <v>4</v>
      </c>
      <c r="B39" s="26" t="s">
        <v>147</v>
      </c>
      <c r="C39" s="46" t="s">
        <v>166</v>
      </c>
      <c r="D39" s="26" t="s">
        <v>172</v>
      </c>
      <c r="E39" s="26" t="s">
        <v>113</v>
      </c>
      <c r="F39" s="27" t="s">
        <v>171</v>
      </c>
      <c r="G39" s="27" t="s">
        <v>173</v>
      </c>
      <c r="H39" s="37">
        <v>10</v>
      </c>
      <c r="I39" s="26" t="s">
        <v>169</v>
      </c>
    </row>
    <row r="40" spans="1:9" ht="41.4">
      <c r="A40" s="26">
        <v>4</v>
      </c>
      <c r="B40" s="26" t="s">
        <v>147</v>
      </c>
      <c r="C40" s="46" t="s">
        <v>174</v>
      </c>
      <c r="D40" s="26" t="s">
        <v>175</v>
      </c>
      <c r="E40" s="26" t="s">
        <v>109</v>
      </c>
      <c r="F40" s="27" t="s">
        <v>173</v>
      </c>
      <c r="G40" s="27" t="s">
        <v>117</v>
      </c>
      <c r="H40" s="37">
        <v>3</v>
      </c>
      <c r="I40" s="26" t="s">
        <v>176</v>
      </c>
    </row>
    <row r="41" spans="1:9" ht="41.4">
      <c r="A41" s="26">
        <v>4</v>
      </c>
      <c r="B41" s="26" t="s">
        <v>147</v>
      </c>
      <c r="C41" s="46" t="s">
        <v>174</v>
      </c>
      <c r="D41" s="26" t="s">
        <v>177</v>
      </c>
      <c r="E41" s="26" t="s">
        <v>111</v>
      </c>
      <c r="F41" s="27" t="s">
        <v>117</v>
      </c>
      <c r="G41" s="27" t="s">
        <v>98</v>
      </c>
      <c r="H41" s="37">
        <v>5</v>
      </c>
      <c r="I41" s="26" t="s">
        <v>176</v>
      </c>
    </row>
    <row r="42" spans="1:9" ht="41.4">
      <c r="A42" s="26">
        <v>4</v>
      </c>
      <c r="B42" s="26" t="s">
        <v>147</v>
      </c>
      <c r="C42" s="46" t="s">
        <v>174</v>
      </c>
      <c r="D42" s="26" t="s">
        <v>178</v>
      </c>
      <c r="E42" s="26" t="s">
        <v>113</v>
      </c>
      <c r="F42" s="27" t="s">
        <v>98</v>
      </c>
      <c r="G42" s="27" t="s">
        <v>119</v>
      </c>
      <c r="H42" s="37">
        <v>10</v>
      </c>
      <c r="I42" s="26" t="s">
        <v>176</v>
      </c>
    </row>
    <row r="43" spans="1:9" ht="27.6">
      <c r="A43" s="26">
        <v>4</v>
      </c>
      <c r="B43" s="26" t="s">
        <v>147</v>
      </c>
      <c r="C43" s="46"/>
      <c r="D43" s="26" t="s">
        <v>179</v>
      </c>
      <c r="E43" s="26" t="s">
        <v>145</v>
      </c>
      <c r="F43" s="27" t="s">
        <v>119</v>
      </c>
      <c r="G43" s="27" t="s">
        <v>102</v>
      </c>
      <c r="H43" s="37">
        <v>10</v>
      </c>
      <c r="I43" s="26" t="s">
        <v>180</v>
      </c>
    </row>
    <row r="44" spans="1:9" ht="27.6">
      <c r="A44" s="28">
        <v>5</v>
      </c>
      <c r="B44" s="28" t="s">
        <v>181</v>
      </c>
      <c r="C44" s="47"/>
      <c r="D44" s="28" t="s">
        <v>182</v>
      </c>
      <c r="E44" s="28" t="s">
        <v>94</v>
      </c>
      <c r="F44" s="29" t="s">
        <v>91</v>
      </c>
      <c r="G44" s="29" t="s">
        <v>122</v>
      </c>
      <c r="H44" s="38">
        <v>10</v>
      </c>
      <c r="I44" s="28" t="s">
        <v>183</v>
      </c>
    </row>
    <row r="45" spans="1:9" ht="41.4">
      <c r="A45" s="28">
        <v>5</v>
      </c>
      <c r="B45" s="28" t="s">
        <v>181</v>
      </c>
      <c r="C45" s="47" t="s">
        <v>184</v>
      </c>
      <c r="D45" s="28" t="s">
        <v>185</v>
      </c>
      <c r="E45" s="28" t="s">
        <v>109</v>
      </c>
      <c r="F45" s="29" t="s">
        <v>122</v>
      </c>
      <c r="G45" s="29" t="s">
        <v>107</v>
      </c>
      <c r="H45" s="38">
        <v>5</v>
      </c>
      <c r="I45" s="28" t="s">
        <v>186</v>
      </c>
    </row>
    <row r="46" spans="1:9" ht="41.4">
      <c r="A46" s="28">
        <v>5</v>
      </c>
      <c r="B46" s="28" t="s">
        <v>181</v>
      </c>
      <c r="C46" s="47" t="s">
        <v>184</v>
      </c>
      <c r="D46" s="28" t="s">
        <v>187</v>
      </c>
      <c r="E46" s="28" t="s">
        <v>111</v>
      </c>
      <c r="F46" s="29" t="s">
        <v>107</v>
      </c>
      <c r="G46" s="29" t="s">
        <v>128</v>
      </c>
      <c r="H46" s="38">
        <v>10</v>
      </c>
      <c r="I46" s="28" t="s">
        <v>186</v>
      </c>
    </row>
    <row r="47" spans="1:9" ht="27.6">
      <c r="A47" s="28">
        <v>5</v>
      </c>
      <c r="B47" s="28" t="s">
        <v>181</v>
      </c>
      <c r="C47" s="47" t="s">
        <v>184</v>
      </c>
      <c r="D47" s="28" t="s">
        <v>188</v>
      </c>
      <c r="E47" s="28" t="s">
        <v>113</v>
      </c>
      <c r="F47" s="29" t="s">
        <v>128</v>
      </c>
      <c r="G47" s="29" t="s">
        <v>130</v>
      </c>
      <c r="H47" s="38">
        <v>10</v>
      </c>
      <c r="I47" s="28" t="s">
        <v>186</v>
      </c>
    </row>
    <row r="48" spans="1:9" ht="41.4">
      <c r="A48" s="28">
        <v>5</v>
      </c>
      <c r="B48" s="28" t="s">
        <v>181</v>
      </c>
      <c r="C48" s="47" t="s">
        <v>189</v>
      </c>
      <c r="D48" s="28" t="s">
        <v>190</v>
      </c>
      <c r="E48" s="28" t="s">
        <v>109</v>
      </c>
      <c r="F48" s="29" t="s">
        <v>130</v>
      </c>
      <c r="G48" s="29" t="s">
        <v>95</v>
      </c>
      <c r="H48" s="38">
        <v>5</v>
      </c>
      <c r="I48" s="28" t="s">
        <v>191</v>
      </c>
    </row>
    <row r="49" spans="1:9" ht="41.4">
      <c r="A49" s="28">
        <v>5</v>
      </c>
      <c r="B49" s="28" t="s">
        <v>181</v>
      </c>
      <c r="C49" s="47" t="s">
        <v>189</v>
      </c>
      <c r="D49" s="28" t="s">
        <v>192</v>
      </c>
      <c r="E49" s="28" t="s">
        <v>111</v>
      </c>
      <c r="F49" s="29" t="s">
        <v>95</v>
      </c>
      <c r="G49" s="29" t="s">
        <v>135</v>
      </c>
      <c r="H49" s="38">
        <v>10</v>
      </c>
      <c r="I49" s="28" t="s">
        <v>191</v>
      </c>
    </row>
    <row r="50" spans="1:9" ht="27.6">
      <c r="A50" s="28">
        <v>5</v>
      </c>
      <c r="B50" s="28" t="s">
        <v>181</v>
      </c>
      <c r="C50" s="47" t="s">
        <v>189</v>
      </c>
      <c r="D50" s="28" t="s">
        <v>193</v>
      </c>
      <c r="E50" s="28" t="s">
        <v>113</v>
      </c>
      <c r="F50" s="29" t="s">
        <v>135</v>
      </c>
      <c r="G50" s="29" t="s">
        <v>137</v>
      </c>
      <c r="H50" s="38">
        <v>10</v>
      </c>
      <c r="I50" s="28" t="s">
        <v>191</v>
      </c>
    </row>
    <row r="51" spans="1:9" ht="41.4">
      <c r="A51" s="28">
        <v>5</v>
      </c>
      <c r="B51" s="28" t="s">
        <v>181</v>
      </c>
      <c r="C51" s="47" t="s">
        <v>194</v>
      </c>
      <c r="D51" s="28" t="s">
        <v>195</v>
      </c>
      <c r="E51" s="28" t="s">
        <v>109</v>
      </c>
      <c r="F51" s="29" t="s">
        <v>137</v>
      </c>
      <c r="G51" s="29" t="s">
        <v>117</v>
      </c>
      <c r="H51" s="38">
        <v>5</v>
      </c>
      <c r="I51" s="28" t="s">
        <v>196</v>
      </c>
    </row>
    <row r="52" spans="1:9" ht="41.4">
      <c r="A52" s="28">
        <v>5</v>
      </c>
      <c r="B52" s="28" t="s">
        <v>181</v>
      </c>
      <c r="C52" s="47" t="s">
        <v>194</v>
      </c>
      <c r="D52" s="28" t="s">
        <v>197</v>
      </c>
      <c r="E52" s="28" t="s">
        <v>111</v>
      </c>
      <c r="F52" s="29" t="s">
        <v>117</v>
      </c>
      <c r="G52" s="29" t="s">
        <v>142</v>
      </c>
      <c r="H52" s="38">
        <v>10</v>
      </c>
      <c r="I52" s="28" t="s">
        <v>196</v>
      </c>
    </row>
    <row r="53" spans="1:9" ht="41.4">
      <c r="A53" s="28">
        <v>5</v>
      </c>
      <c r="B53" s="28" t="s">
        <v>181</v>
      </c>
      <c r="C53" s="47" t="s">
        <v>194</v>
      </c>
      <c r="D53" s="28" t="s">
        <v>198</v>
      </c>
      <c r="E53" s="28" t="s">
        <v>113</v>
      </c>
      <c r="F53" s="29" t="s">
        <v>142</v>
      </c>
      <c r="G53" s="29" t="s">
        <v>100</v>
      </c>
      <c r="H53" s="38">
        <v>10</v>
      </c>
      <c r="I53" s="28" t="s">
        <v>196</v>
      </c>
    </row>
    <row r="54" spans="1:9" ht="27.6">
      <c r="A54" s="28">
        <v>5</v>
      </c>
      <c r="B54" s="28" t="s">
        <v>181</v>
      </c>
      <c r="C54" s="47"/>
      <c r="D54" s="28" t="s">
        <v>199</v>
      </c>
      <c r="E54" s="28" t="s">
        <v>145</v>
      </c>
      <c r="F54" s="29" t="s">
        <v>100</v>
      </c>
      <c r="G54" s="29" t="s">
        <v>102</v>
      </c>
      <c r="H54" s="38">
        <v>5</v>
      </c>
      <c r="I54" s="28" t="s">
        <v>146</v>
      </c>
    </row>
    <row r="55" spans="1:9" ht="27.6">
      <c r="A55" s="30">
        <v>6</v>
      </c>
      <c r="B55" s="30" t="s">
        <v>200</v>
      </c>
      <c r="C55" s="48"/>
      <c r="D55" s="30" t="s">
        <v>201</v>
      </c>
      <c r="E55" s="30" t="s">
        <v>94</v>
      </c>
      <c r="F55" s="31" t="s">
        <v>91</v>
      </c>
      <c r="G55" s="31" t="s">
        <v>122</v>
      </c>
      <c r="H55" s="39">
        <v>10</v>
      </c>
      <c r="I55" s="30" t="s">
        <v>202</v>
      </c>
    </row>
    <row r="56" spans="1:9" ht="41.4">
      <c r="A56" s="30">
        <v>6</v>
      </c>
      <c r="B56" s="30" t="s">
        <v>200</v>
      </c>
      <c r="C56" s="48" t="s">
        <v>203</v>
      </c>
      <c r="D56" s="30" t="s">
        <v>204</v>
      </c>
      <c r="E56" s="30" t="s">
        <v>109</v>
      </c>
      <c r="F56" s="31" t="s">
        <v>122</v>
      </c>
      <c r="G56" s="31" t="s">
        <v>107</v>
      </c>
      <c r="H56" s="39">
        <v>5</v>
      </c>
      <c r="I56" s="30" t="s">
        <v>205</v>
      </c>
    </row>
    <row r="57" spans="1:9" ht="41.4">
      <c r="A57" s="30">
        <v>6</v>
      </c>
      <c r="B57" s="30" t="s">
        <v>200</v>
      </c>
      <c r="C57" s="48" t="s">
        <v>203</v>
      </c>
      <c r="D57" s="30" t="s">
        <v>206</v>
      </c>
      <c r="E57" s="30" t="s">
        <v>111</v>
      </c>
      <c r="F57" s="31" t="s">
        <v>107</v>
      </c>
      <c r="G57" s="31" t="s">
        <v>128</v>
      </c>
      <c r="H57" s="39">
        <v>10</v>
      </c>
      <c r="I57" s="30" t="s">
        <v>205</v>
      </c>
    </row>
    <row r="58" spans="1:9" ht="41.4">
      <c r="A58" s="30">
        <v>6</v>
      </c>
      <c r="B58" s="30" t="s">
        <v>200</v>
      </c>
      <c r="C58" s="48" t="s">
        <v>203</v>
      </c>
      <c r="D58" s="30" t="s">
        <v>207</v>
      </c>
      <c r="E58" s="30" t="s">
        <v>113</v>
      </c>
      <c r="F58" s="31" t="s">
        <v>128</v>
      </c>
      <c r="G58" s="31" t="s">
        <v>130</v>
      </c>
      <c r="H58" s="39">
        <v>10</v>
      </c>
      <c r="I58" s="30" t="s">
        <v>205</v>
      </c>
    </row>
    <row r="59" spans="1:9" ht="41.4">
      <c r="A59" s="30">
        <v>6</v>
      </c>
      <c r="B59" s="30" t="s">
        <v>200</v>
      </c>
      <c r="C59" s="48" t="s">
        <v>208</v>
      </c>
      <c r="D59" s="30" t="s">
        <v>209</v>
      </c>
      <c r="E59" s="30" t="s">
        <v>109</v>
      </c>
      <c r="F59" s="31" t="s">
        <v>130</v>
      </c>
      <c r="G59" s="31" t="s">
        <v>95</v>
      </c>
      <c r="H59" s="39">
        <v>5</v>
      </c>
      <c r="I59" s="30" t="s">
        <v>210</v>
      </c>
    </row>
    <row r="60" spans="1:9" ht="41.4">
      <c r="A60" s="30">
        <v>6</v>
      </c>
      <c r="B60" s="30" t="s">
        <v>200</v>
      </c>
      <c r="C60" s="48" t="s">
        <v>208</v>
      </c>
      <c r="D60" s="30" t="s">
        <v>211</v>
      </c>
      <c r="E60" s="30" t="s">
        <v>111</v>
      </c>
      <c r="F60" s="31" t="s">
        <v>95</v>
      </c>
      <c r="G60" s="31" t="s">
        <v>135</v>
      </c>
      <c r="H60" s="39">
        <v>10</v>
      </c>
      <c r="I60" s="30" t="s">
        <v>210</v>
      </c>
    </row>
    <row r="61" spans="1:9" ht="27.6">
      <c r="A61" s="30">
        <v>6</v>
      </c>
      <c r="B61" s="30" t="s">
        <v>200</v>
      </c>
      <c r="C61" s="48" t="s">
        <v>208</v>
      </c>
      <c r="D61" s="30" t="s">
        <v>212</v>
      </c>
      <c r="E61" s="30" t="s">
        <v>113</v>
      </c>
      <c r="F61" s="31" t="s">
        <v>135</v>
      </c>
      <c r="G61" s="31" t="s">
        <v>137</v>
      </c>
      <c r="H61" s="39">
        <v>10</v>
      </c>
      <c r="I61" s="30" t="s">
        <v>210</v>
      </c>
    </row>
    <row r="62" spans="1:9" ht="41.4">
      <c r="A62" s="30">
        <v>6</v>
      </c>
      <c r="B62" s="30" t="s">
        <v>200</v>
      </c>
      <c r="C62" s="48" t="s">
        <v>213</v>
      </c>
      <c r="D62" s="30" t="s">
        <v>214</v>
      </c>
      <c r="E62" s="30" t="s">
        <v>109</v>
      </c>
      <c r="F62" s="31" t="s">
        <v>137</v>
      </c>
      <c r="G62" s="31" t="s">
        <v>117</v>
      </c>
      <c r="H62" s="39">
        <v>5</v>
      </c>
      <c r="I62" s="30" t="s">
        <v>215</v>
      </c>
    </row>
    <row r="63" spans="1:9" ht="41.4">
      <c r="A63" s="30">
        <v>6</v>
      </c>
      <c r="B63" s="30" t="s">
        <v>200</v>
      </c>
      <c r="C63" s="48" t="s">
        <v>213</v>
      </c>
      <c r="D63" s="30" t="s">
        <v>216</v>
      </c>
      <c r="E63" s="30" t="s">
        <v>111</v>
      </c>
      <c r="F63" s="31" t="s">
        <v>117</v>
      </c>
      <c r="G63" s="31" t="s">
        <v>142</v>
      </c>
      <c r="H63" s="39">
        <v>10</v>
      </c>
      <c r="I63" s="30" t="s">
        <v>215</v>
      </c>
    </row>
    <row r="64" spans="1:9" ht="27.6">
      <c r="A64" s="30">
        <v>6</v>
      </c>
      <c r="B64" s="30" t="s">
        <v>200</v>
      </c>
      <c r="C64" s="48" t="s">
        <v>213</v>
      </c>
      <c r="D64" s="30" t="s">
        <v>217</v>
      </c>
      <c r="E64" s="30" t="s">
        <v>113</v>
      </c>
      <c r="F64" s="31" t="s">
        <v>142</v>
      </c>
      <c r="G64" s="31" t="s">
        <v>100</v>
      </c>
      <c r="H64" s="39">
        <v>10</v>
      </c>
      <c r="I64" s="30" t="s">
        <v>215</v>
      </c>
    </row>
    <row r="65" spans="1:9" ht="27.6">
      <c r="A65" s="30">
        <v>6</v>
      </c>
      <c r="B65" s="30" t="s">
        <v>200</v>
      </c>
      <c r="C65" s="48"/>
      <c r="D65" s="30" t="s">
        <v>218</v>
      </c>
      <c r="E65" s="30" t="s">
        <v>145</v>
      </c>
      <c r="F65" s="31" t="s">
        <v>100</v>
      </c>
      <c r="G65" s="31" t="s">
        <v>102</v>
      </c>
      <c r="H65" s="39">
        <v>5</v>
      </c>
      <c r="I65" s="30" t="s">
        <v>219</v>
      </c>
    </row>
    <row r="66" spans="1:9" ht="27.6">
      <c r="A66" s="32">
        <v>7</v>
      </c>
      <c r="B66" s="32" t="s">
        <v>220</v>
      </c>
      <c r="C66" s="49"/>
      <c r="D66" s="32" t="s">
        <v>221</v>
      </c>
      <c r="E66" s="32" t="s">
        <v>222</v>
      </c>
      <c r="F66" s="33" t="s">
        <v>91</v>
      </c>
      <c r="G66" s="33" t="s">
        <v>122</v>
      </c>
      <c r="H66" s="40">
        <v>10</v>
      </c>
      <c r="I66" s="32" t="s">
        <v>223</v>
      </c>
    </row>
    <row r="67" spans="1:9" ht="27.6">
      <c r="A67" s="32">
        <v>7</v>
      </c>
      <c r="B67" s="32" t="s">
        <v>220</v>
      </c>
      <c r="C67" s="49"/>
      <c r="D67" s="32" t="s">
        <v>224</v>
      </c>
      <c r="E67" s="32" t="s">
        <v>225</v>
      </c>
      <c r="F67" s="33" t="s">
        <v>122</v>
      </c>
      <c r="G67" s="33" t="s">
        <v>130</v>
      </c>
      <c r="H67" s="40">
        <v>25</v>
      </c>
      <c r="I67" s="32" t="s">
        <v>226</v>
      </c>
    </row>
    <row r="68" spans="1:9" ht="27.6">
      <c r="A68" s="32">
        <v>7</v>
      </c>
      <c r="B68" s="32" t="s">
        <v>220</v>
      </c>
      <c r="C68" s="49" t="s">
        <v>227</v>
      </c>
      <c r="D68" s="32" t="s">
        <v>228</v>
      </c>
      <c r="E68" s="32" t="s">
        <v>113</v>
      </c>
      <c r="F68" s="33" t="s">
        <v>130</v>
      </c>
      <c r="G68" s="33" t="s">
        <v>97</v>
      </c>
      <c r="H68" s="40">
        <v>20</v>
      </c>
      <c r="I68" s="32" t="s">
        <v>219</v>
      </c>
    </row>
    <row r="69" spans="1:9" ht="27.6">
      <c r="A69" s="32">
        <v>7</v>
      </c>
      <c r="B69" s="32" t="s">
        <v>220</v>
      </c>
      <c r="C69" s="49"/>
      <c r="D69" s="32" t="s">
        <v>229</v>
      </c>
      <c r="E69" s="32" t="s">
        <v>230</v>
      </c>
      <c r="F69" s="33" t="s">
        <v>97</v>
      </c>
      <c r="G69" s="33" t="s">
        <v>119</v>
      </c>
      <c r="H69" s="40">
        <v>25</v>
      </c>
      <c r="I69" s="32" t="s">
        <v>231</v>
      </c>
    </row>
    <row r="70" spans="1:9" ht="27.6">
      <c r="A70" s="32">
        <v>7</v>
      </c>
      <c r="B70" s="32" t="s">
        <v>220</v>
      </c>
      <c r="C70" s="49"/>
      <c r="D70" s="32" t="s">
        <v>232</v>
      </c>
      <c r="E70" s="32" t="s">
        <v>233</v>
      </c>
      <c r="F70" s="33" t="s">
        <v>119</v>
      </c>
      <c r="G70" s="33" t="s">
        <v>100</v>
      </c>
      <c r="H70" s="40">
        <v>5</v>
      </c>
      <c r="I70" s="32" t="s">
        <v>234</v>
      </c>
    </row>
    <row r="71" spans="1:9">
      <c r="A71" s="32">
        <v>7</v>
      </c>
      <c r="B71" s="32" t="s">
        <v>220</v>
      </c>
      <c r="C71" s="49"/>
      <c r="D71" s="32" t="s">
        <v>235</v>
      </c>
      <c r="E71" s="32" t="s">
        <v>145</v>
      </c>
      <c r="F71" s="33" t="s">
        <v>100</v>
      </c>
      <c r="G71" s="33" t="s">
        <v>102</v>
      </c>
      <c r="H71" s="40">
        <v>5</v>
      </c>
      <c r="I71" s="32" t="s">
        <v>146</v>
      </c>
    </row>
    <row r="72" spans="1:9" ht="27.6">
      <c r="A72" s="28">
        <v>8</v>
      </c>
      <c r="B72" s="28" t="s">
        <v>236</v>
      </c>
      <c r="C72" s="47"/>
      <c r="D72" s="28" t="s">
        <v>237</v>
      </c>
      <c r="E72" s="28" t="s">
        <v>84</v>
      </c>
      <c r="F72" s="29" t="s">
        <v>91</v>
      </c>
      <c r="G72" s="29" t="s">
        <v>105</v>
      </c>
      <c r="H72" s="38">
        <v>5</v>
      </c>
      <c r="I72" s="28" t="s">
        <v>238</v>
      </c>
    </row>
    <row r="73" spans="1:9">
      <c r="A73" s="28">
        <v>8</v>
      </c>
      <c r="B73" s="28" t="s">
        <v>236</v>
      </c>
      <c r="C73" s="47"/>
      <c r="D73" s="28" t="s">
        <v>239</v>
      </c>
      <c r="E73" s="28" t="s">
        <v>240</v>
      </c>
      <c r="F73" s="29" t="s">
        <v>105</v>
      </c>
      <c r="G73" s="29" t="s">
        <v>241</v>
      </c>
      <c r="H73" s="38">
        <v>28</v>
      </c>
      <c r="I73" s="28" t="s">
        <v>242</v>
      </c>
    </row>
    <row r="74" spans="1:9">
      <c r="A74" s="28">
        <v>8</v>
      </c>
      <c r="B74" s="28" t="s">
        <v>236</v>
      </c>
      <c r="C74" s="47"/>
      <c r="D74" s="28" t="s">
        <v>244</v>
      </c>
      <c r="E74" s="28" t="s">
        <v>245</v>
      </c>
      <c r="F74" s="29" t="s">
        <v>241</v>
      </c>
      <c r="G74" s="29" t="s">
        <v>95</v>
      </c>
      <c r="H74" s="38">
        <v>7</v>
      </c>
      <c r="I74" s="28" t="s">
        <v>238</v>
      </c>
    </row>
    <row r="75" spans="1:9">
      <c r="A75" s="28">
        <v>8</v>
      </c>
      <c r="B75" s="28" t="s">
        <v>236</v>
      </c>
      <c r="C75" s="47"/>
      <c r="D75" s="28" t="s">
        <v>246</v>
      </c>
      <c r="E75" s="28" t="s">
        <v>240</v>
      </c>
      <c r="F75" s="29" t="s">
        <v>95</v>
      </c>
      <c r="G75" s="29" t="s">
        <v>247</v>
      </c>
      <c r="H75" s="38">
        <v>28</v>
      </c>
      <c r="I75" s="28" t="s">
        <v>242</v>
      </c>
    </row>
    <row r="76" spans="1:9">
      <c r="A76" s="28">
        <v>8</v>
      </c>
      <c r="B76" s="28" t="s">
        <v>236</v>
      </c>
      <c r="C76" s="47"/>
      <c r="D76" s="28" t="s">
        <v>248</v>
      </c>
      <c r="E76" s="28" t="s">
        <v>245</v>
      </c>
      <c r="F76" s="29" t="s">
        <v>247</v>
      </c>
      <c r="G76" s="29" t="s">
        <v>119</v>
      </c>
      <c r="H76" s="38">
        <v>12</v>
      </c>
      <c r="I76" s="28" t="s">
        <v>219</v>
      </c>
    </row>
    <row r="77" spans="1:9" ht="27.6">
      <c r="A77" s="28">
        <v>8</v>
      </c>
      <c r="B77" s="28" t="s">
        <v>236</v>
      </c>
      <c r="C77" s="47"/>
      <c r="D77" s="28" t="s">
        <v>249</v>
      </c>
      <c r="E77" s="28" t="s">
        <v>145</v>
      </c>
      <c r="F77" s="29" t="s">
        <v>119</v>
      </c>
      <c r="G77" s="29" t="s">
        <v>250</v>
      </c>
      <c r="H77" s="38">
        <v>8</v>
      </c>
      <c r="I77" s="28" t="s">
        <v>251</v>
      </c>
    </row>
    <row r="78" spans="1:9">
      <c r="A78" s="28">
        <v>8</v>
      </c>
      <c r="B78" s="28" t="s">
        <v>236</v>
      </c>
      <c r="C78" s="47"/>
      <c r="D78" s="28" t="s">
        <v>252</v>
      </c>
      <c r="E78" s="28" t="s">
        <v>145</v>
      </c>
      <c r="F78" s="29" t="s">
        <v>250</v>
      </c>
      <c r="G78" s="29" t="s">
        <v>102</v>
      </c>
      <c r="H78" s="38">
        <v>2</v>
      </c>
      <c r="I78" s="28" t="s">
        <v>253</v>
      </c>
    </row>
    <row r="88" spans="4:4">
      <c r="D88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>
      <selection activeCell="C2" sqref="C2"/>
    </sheetView>
  </sheetViews>
  <sheetFormatPr baseColWidth="10" defaultColWidth="8.796875" defaultRowHeight="13.8"/>
  <cols>
    <col min="1" max="1" width="8" customWidth="1"/>
    <col min="2" max="2" width="10" customWidth="1"/>
    <col min="3" max="3" width="32" customWidth="1"/>
    <col min="4" max="4" width="45" customWidth="1"/>
    <col min="5" max="5" width="30" customWidth="1"/>
    <col min="6" max="6" width="28" customWidth="1"/>
    <col min="7" max="7" width="16" customWidth="1"/>
    <col min="8" max="8" width="32" customWidth="1"/>
    <col min="9" max="9" width="24" customWidth="1"/>
    <col min="10" max="10" width="16" customWidth="1"/>
    <col min="11" max="11" width="42" customWidth="1"/>
  </cols>
  <sheetData>
    <row r="1" spans="1:11">
      <c r="A1" s="4" t="s">
        <v>56</v>
      </c>
      <c r="B1" s="4" t="s">
        <v>254</v>
      </c>
      <c r="C1" s="4" t="s">
        <v>255</v>
      </c>
      <c r="D1" s="4" t="s">
        <v>256</v>
      </c>
      <c r="E1" s="4" t="s">
        <v>257</v>
      </c>
      <c r="F1" s="4" t="s">
        <v>87</v>
      </c>
      <c r="G1" s="4" t="s">
        <v>258</v>
      </c>
      <c r="H1" s="4" t="s">
        <v>259</v>
      </c>
      <c r="I1" s="4" t="s">
        <v>260</v>
      </c>
      <c r="J1" s="4" t="s">
        <v>261</v>
      </c>
      <c r="K1" s="4" t="s">
        <v>262</v>
      </c>
    </row>
    <row r="2" spans="1:11" ht="27.6">
      <c r="A2" s="3">
        <v>2</v>
      </c>
      <c r="B2" s="3" t="s">
        <v>108</v>
      </c>
      <c r="C2" s="3" t="s">
        <v>263</v>
      </c>
      <c r="D2" s="3" t="s">
        <v>264</v>
      </c>
      <c r="E2" s="3" t="s">
        <v>265</v>
      </c>
      <c r="F2" s="3" t="s">
        <v>110</v>
      </c>
      <c r="G2" s="3">
        <v>10</v>
      </c>
      <c r="H2" s="3" t="s">
        <v>266</v>
      </c>
      <c r="I2" s="3" t="s">
        <v>267</v>
      </c>
      <c r="J2" s="3" t="s">
        <v>268</v>
      </c>
      <c r="K2" s="3" t="s">
        <v>269</v>
      </c>
    </row>
    <row r="3" spans="1:11" ht="27.6">
      <c r="A3" s="3">
        <v>2</v>
      </c>
      <c r="B3" s="3" t="s">
        <v>114</v>
      </c>
      <c r="C3" s="3" t="s">
        <v>270</v>
      </c>
      <c r="D3" s="3" t="s">
        <v>271</v>
      </c>
      <c r="E3" s="3" t="s">
        <v>272</v>
      </c>
      <c r="F3" s="3" t="s">
        <v>116</v>
      </c>
      <c r="G3" s="3">
        <v>10</v>
      </c>
      <c r="H3" s="3" t="s">
        <v>273</v>
      </c>
      <c r="I3" s="3" t="s">
        <v>274</v>
      </c>
      <c r="J3" s="3" t="s">
        <v>268</v>
      </c>
      <c r="K3" s="3" t="s">
        <v>275</v>
      </c>
    </row>
    <row r="4" spans="1:11" ht="27.6">
      <c r="A4" s="3">
        <v>2</v>
      </c>
      <c r="B4" s="3" t="s">
        <v>118</v>
      </c>
      <c r="C4" s="3" t="s">
        <v>276</v>
      </c>
      <c r="D4" s="3" t="s">
        <v>277</v>
      </c>
      <c r="E4" s="3" t="s">
        <v>278</v>
      </c>
      <c r="F4" s="3" t="s">
        <v>106</v>
      </c>
      <c r="G4" s="3">
        <v>10</v>
      </c>
      <c r="H4" s="3" t="s">
        <v>279</v>
      </c>
      <c r="I4" s="3" t="s">
        <v>280</v>
      </c>
      <c r="J4" s="3" t="s">
        <v>268</v>
      </c>
      <c r="K4" s="3" t="s">
        <v>281</v>
      </c>
    </row>
    <row r="5" spans="1:11" ht="27.6">
      <c r="A5" s="3">
        <v>3</v>
      </c>
      <c r="B5" s="3" t="s">
        <v>124</v>
      </c>
      <c r="C5" s="3" t="s">
        <v>282</v>
      </c>
      <c r="D5" s="3" t="s">
        <v>283</v>
      </c>
      <c r="E5" s="3" t="s">
        <v>284</v>
      </c>
      <c r="F5" s="3" t="s">
        <v>99</v>
      </c>
      <c r="G5" s="3">
        <v>10</v>
      </c>
      <c r="H5" s="3" t="s">
        <v>285</v>
      </c>
      <c r="I5" s="3" t="s">
        <v>286</v>
      </c>
      <c r="J5" s="3" t="s">
        <v>287</v>
      </c>
      <c r="K5" s="3" t="s">
        <v>288</v>
      </c>
    </row>
    <row r="6" spans="1:11" ht="27.6">
      <c r="A6" s="3">
        <v>3</v>
      </c>
      <c r="B6" s="3" t="s">
        <v>131</v>
      </c>
      <c r="C6" s="3" t="s">
        <v>289</v>
      </c>
      <c r="D6" s="3" t="s">
        <v>290</v>
      </c>
      <c r="E6" s="3" t="s">
        <v>291</v>
      </c>
      <c r="F6" s="3" t="s">
        <v>133</v>
      </c>
      <c r="G6" s="3">
        <v>10</v>
      </c>
      <c r="H6" s="3" t="s">
        <v>292</v>
      </c>
      <c r="I6" s="3" t="s">
        <v>293</v>
      </c>
      <c r="J6" s="3" t="s">
        <v>287</v>
      </c>
      <c r="K6" s="3" t="s">
        <v>294</v>
      </c>
    </row>
    <row r="7" spans="1:11" ht="27.6">
      <c r="A7" s="3">
        <v>3</v>
      </c>
      <c r="B7" s="3" t="s">
        <v>138</v>
      </c>
      <c r="C7" s="3" t="s">
        <v>295</v>
      </c>
      <c r="D7" s="3" t="s">
        <v>296</v>
      </c>
      <c r="E7" s="3" t="s">
        <v>297</v>
      </c>
      <c r="F7" s="3" t="s">
        <v>140</v>
      </c>
      <c r="G7" s="3">
        <v>10</v>
      </c>
      <c r="H7" s="3" t="s">
        <v>298</v>
      </c>
      <c r="I7" s="3" t="s">
        <v>299</v>
      </c>
      <c r="J7" s="3" t="s">
        <v>287</v>
      </c>
      <c r="K7" s="3" t="s">
        <v>300</v>
      </c>
    </row>
    <row r="8" spans="1:11" ht="27.6">
      <c r="A8" s="3">
        <v>4</v>
      </c>
      <c r="B8" s="3" t="s">
        <v>150</v>
      </c>
      <c r="C8" s="3" t="s">
        <v>301</v>
      </c>
      <c r="D8" s="3" t="s">
        <v>302</v>
      </c>
      <c r="E8" s="3" t="s">
        <v>303</v>
      </c>
      <c r="F8" s="3" t="s">
        <v>153</v>
      </c>
      <c r="G8" s="3">
        <v>10</v>
      </c>
      <c r="H8" s="3" t="s">
        <v>304</v>
      </c>
      <c r="I8" s="3" t="s">
        <v>305</v>
      </c>
      <c r="J8" s="3" t="s">
        <v>268</v>
      </c>
      <c r="K8" s="3" t="s">
        <v>306</v>
      </c>
    </row>
    <row r="9" spans="1:11" ht="27.6">
      <c r="A9" s="3">
        <v>4</v>
      </c>
      <c r="B9" s="3" t="s">
        <v>158</v>
      </c>
      <c r="C9" s="3" t="s">
        <v>307</v>
      </c>
      <c r="D9" s="3" t="s">
        <v>308</v>
      </c>
      <c r="E9" s="3" t="s">
        <v>309</v>
      </c>
      <c r="F9" s="3" t="s">
        <v>161</v>
      </c>
      <c r="G9" s="3">
        <v>10</v>
      </c>
      <c r="H9" s="3" t="s">
        <v>310</v>
      </c>
      <c r="I9" s="3" t="s">
        <v>311</v>
      </c>
      <c r="J9" s="3" t="s">
        <v>287</v>
      </c>
      <c r="K9" s="3" t="s">
        <v>312</v>
      </c>
    </row>
    <row r="10" spans="1:11" ht="27.6">
      <c r="A10" s="3">
        <v>4</v>
      </c>
      <c r="B10" s="3" t="s">
        <v>166</v>
      </c>
      <c r="C10" s="3" t="s">
        <v>313</v>
      </c>
      <c r="D10" s="3" t="s">
        <v>314</v>
      </c>
      <c r="E10" s="3" t="s">
        <v>315</v>
      </c>
      <c r="F10" s="3" t="s">
        <v>169</v>
      </c>
      <c r="G10" s="3">
        <v>10</v>
      </c>
      <c r="H10" s="3" t="s">
        <v>316</v>
      </c>
      <c r="I10" s="3" t="s">
        <v>317</v>
      </c>
      <c r="J10" s="3" t="s">
        <v>287</v>
      </c>
      <c r="K10" s="3" t="s">
        <v>318</v>
      </c>
    </row>
    <row r="11" spans="1:11" ht="27.6">
      <c r="A11" s="3">
        <v>4</v>
      </c>
      <c r="B11" s="3" t="s">
        <v>174</v>
      </c>
      <c r="C11" s="3" t="s">
        <v>319</v>
      </c>
      <c r="D11" s="3" t="s">
        <v>320</v>
      </c>
      <c r="E11" s="3" t="s">
        <v>321</v>
      </c>
      <c r="F11" s="3" t="s">
        <v>176</v>
      </c>
      <c r="G11" s="3">
        <v>10</v>
      </c>
      <c r="H11" s="3" t="s">
        <v>322</v>
      </c>
      <c r="I11" s="3" t="s">
        <v>323</v>
      </c>
      <c r="J11" s="3" t="s">
        <v>324</v>
      </c>
      <c r="K11" s="3" t="s">
        <v>325</v>
      </c>
    </row>
    <row r="12" spans="1:11" ht="27.6">
      <c r="A12" s="3">
        <v>5</v>
      </c>
      <c r="B12" s="3" t="s">
        <v>184</v>
      </c>
      <c r="C12" s="3" t="s">
        <v>326</v>
      </c>
      <c r="D12" s="3" t="s">
        <v>327</v>
      </c>
      <c r="E12" s="3" t="s">
        <v>328</v>
      </c>
      <c r="F12" s="3" t="s">
        <v>186</v>
      </c>
      <c r="G12" s="3">
        <v>10</v>
      </c>
      <c r="H12" s="3" t="s">
        <v>329</v>
      </c>
      <c r="I12" s="3" t="s">
        <v>330</v>
      </c>
      <c r="J12" s="3" t="s">
        <v>287</v>
      </c>
      <c r="K12" s="3" t="s">
        <v>331</v>
      </c>
    </row>
    <row r="13" spans="1:11" ht="27.6">
      <c r="A13" s="3">
        <v>5</v>
      </c>
      <c r="B13" s="3" t="s">
        <v>189</v>
      </c>
      <c r="C13" s="3" t="s">
        <v>332</v>
      </c>
      <c r="D13" s="3" t="s">
        <v>333</v>
      </c>
      <c r="E13" s="3" t="s">
        <v>334</v>
      </c>
      <c r="F13" s="3" t="s">
        <v>191</v>
      </c>
      <c r="G13" s="3">
        <v>10</v>
      </c>
      <c r="H13" s="3" t="s">
        <v>335</v>
      </c>
      <c r="I13" s="3" t="s">
        <v>336</v>
      </c>
      <c r="J13" s="3" t="s">
        <v>287</v>
      </c>
      <c r="K13" s="3" t="s">
        <v>337</v>
      </c>
    </row>
    <row r="14" spans="1:11" ht="27.6">
      <c r="A14" s="3">
        <v>5</v>
      </c>
      <c r="B14" s="3" t="s">
        <v>194</v>
      </c>
      <c r="C14" s="3" t="s">
        <v>338</v>
      </c>
      <c r="D14" s="3" t="s">
        <v>339</v>
      </c>
      <c r="E14" s="3" t="s">
        <v>340</v>
      </c>
      <c r="F14" s="3" t="s">
        <v>196</v>
      </c>
      <c r="G14" s="3">
        <v>10</v>
      </c>
      <c r="H14" s="3" t="s">
        <v>341</v>
      </c>
      <c r="I14" s="3" t="s">
        <v>70</v>
      </c>
      <c r="J14" s="3" t="s">
        <v>287</v>
      </c>
      <c r="K14" s="3" t="s">
        <v>342</v>
      </c>
    </row>
    <row r="15" spans="1:11" ht="27.6">
      <c r="A15" s="3">
        <v>6</v>
      </c>
      <c r="B15" s="3" t="s">
        <v>203</v>
      </c>
      <c r="C15" s="3" t="s">
        <v>343</v>
      </c>
      <c r="D15" s="3" t="s">
        <v>344</v>
      </c>
      <c r="E15" s="3" t="s">
        <v>345</v>
      </c>
      <c r="F15" s="3" t="s">
        <v>346</v>
      </c>
      <c r="G15" s="3">
        <v>10</v>
      </c>
      <c r="H15" s="3" t="s">
        <v>347</v>
      </c>
      <c r="I15" s="3" t="s">
        <v>348</v>
      </c>
      <c r="J15" s="3" t="s">
        <v>349</v>
      </c>
      <c r="K15" s="3" t="s">
        <v>350</v>
      </c>
    </row>
    <row r="16" spans="1:11" ht="27.6">
      <c r="A16" s="3">
        <v>6</v>
      </c>
      <c r="B16" s="3" t="s">
        <v>208</v>
      </c>
      <c r="C16" s="3" t="s">
        <v>351</v>
      </c>
      <c r="D16" s="3" t="s">
        <v>352</v>
      </c>
      <c r="E16" s="3" t="s">
        <v>353</v>
      </c>
      <c r="F16" s="3" t="s">
        <v>210</v>
      </c>
      <c r="G16" s="3">
        <v>10</v>
      </c>
      <c r="H16" s="3" t="s">
        <v>354</v>
      </c>
      <c r="I16" s="3" t="s">
        <v>355</v>
      </c>
      <c r="J16" s="3" t="s">
        <v>349</v>
      </c>
      <c r="K16" s="3" t="s">
        <v>356</v>
      </c>
    </row>
    <row r="17" spans="1:11" ht="27.6">
      <c r="A17" s="3">
        <v>6</v>
      </c>
      <c r="B17" s="3" t="s">
        <v>213</v>
      </c>
      <c r="C17" s="3" t="s">
        <v>357</v>
      </c>
      <c r="D17" s="3" t="s">
        <v>358</v>
      </c>
      <c r="E17" s="3" t="s">
        <v>359</v>
      </c>
      <c r="F17" s="3" t="s">
        <v>360</v>
      </c>
      <c r="G17" s="3">
        <v>10</v>
      </c>
      <c r="H17" s="3" t="s">
        <v>361</v>
      </c>
      <c r="I17" s="3" t="s">
        <v>362</v>
      </c>
      <c r="J17" s="3" t="s">
        <v>349</v>
      </c>
      <c r="K17" s="3" t="s">
        <v>363</v>
      </c>
    </row>
    <row r="18" spans="1:11" ht="27.6">
      <c r="A18" s="3">
        <v>7</v>
      </c>
      <c r="B18" s="3" t="s">
        <v>227</v>
      </c>
      <c r="C18" s="3" t="s">
        <v>364</v>
      </c>
      <c r="D18" s="3" t="s">
        <v>365</v>
      </c>
      <c r="E18" s="3" t="s">
        <v>366</v>
      </c>
      <c r="F18" s="3" t="s">
        <v>219</v>
      </c>
      <c r="G18" s="3">
        <v>10</v>
      </c>
      <c r="H18" s="3" t="s">
        <v>367</v>
      </c>
      <c r="I18" s="3" t="s">
        <v>368</v>
      </c>
      <c r="J18" s="3" t="s">
        <v>287</v>
      </c>
      <c r="K18" s="3" t="s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topLeftCell="A2" workbookViewId="0">
      <selection activeCell="B9" sqref="B9"/>
    </sheetView>
  </sheetViews>
  <sheetFormatPr baseColWidth="10" defaultColWidth="8.796875" defaultRowHeight="13.8"/>
  <cols>
    <col min="1" max="1" width="18" customWidth="1"/>
    <col min="2" max="2" width="14" customWidth="1"/>
    <col min="3" max="3" width="42" customWidth="1"/>
    <col min="4" max="4" width="34" customWidth="1"/>
    <col min="5" max="5" width="20" customWidth="1"/>
    <col min="6" max="6" width="36" customWidth="1"/>
  </cols>
  <sheetData>
    <row r="1" spans="1:6">
      <c r="A1" s="15" t="s">
        <v>370</v>
      </c>
      <c r="B1" s="15"/>
      <c r="C1" s="15"/>
      <c r="D1" s="15"/>
      <c r="E1" s="15"/>
      <c r="F1" s="15"/>
    </row>
    <row r="2" spans="1:6" ht="124.2">
      <c r="A2" s="2" t="s">
        <v>256</v>
      </c>
      <c r="B2" s="2" t="s">
        <v>371</v>
      </c>
      <c r="C2" s="2"/>
      <c r="D2" s="2"/>
      <c r="E2" s="2"/>
      <c r="F2" s="2"/>
    </row>
    <row r="3" spans="1:6" ht="96.6">
      <c r="A3" s="2" t="s">
        <v>372</v>
      </c>
      <c r="B3" s="2" t="s">
        <v>373</v>
      </c>
      <c r="C3" s="2"/>
      <c r="D3" s="2"/>
      <c r="E3" s="2"/>
      <c r="F3" s="2"/>
    </row>
    <row r="5" spans="1:6">
      <c r="A5" s="1" t="s">
        <v>374</v>
      </c>
      <c r="B5" s="1" t="s">
        <v>56</v>
      </c>
      <c r="C5" s="1" t="s">
        <v>375</v>
      </c>
      <c r="D5" s="1" t="s">
        <v>88</v>
      </c>
      <c r="E5" s="1" t="s">
        <v>376</v>
      </c>
      <c r="F5" s="1" t="s">
        <v>89</v>
      </c>
    </row>
    <row r="6" spans="1:6">
      <c r="A6" s="3" t="s">
        <v>377</v>
      </c>
      <c r="B6" s="3" t="s">
        <v>378</v>
      </c>
      <c r="C6" s="3" t="s">
        <v>379</v>
      </c>
      <c r="D6" s="3" t="s">
        <v>380</v>
      </c>
      <c r="E6" s="3" t="s">
        <v>381</v>
      </c>
      <c r="F6" s="3" t="s">
        <v>382</v>
      </c>
    </row>
    <row r="7" spans="1:6" ht="27.6">
      <c r="A7" s="3" t="s">
        <v>383</v>
      </c>
      <c r="B7" s="3" t="s">
        <v>45</v>
      </c>
      <c r="C7" s="3" t="s">
        <v>384</v>
      </c>
      <c r="D7" s="3" t="s">
        <v>385</v>
      </c>
      <c r="E7" s="3" t="s">
        <v>381</v>
      </c>
      <c r="F7" s="3" t="s">
        <v>386</v>
      </c>
    </row>
    <row r="8" spans="1:6" ht="27.6">
      <c r="A8" s="3" t="s">
        <v>387</v>
      </c>
      <c r="B8" s="3" t="s">
        <v>32</v>
      </c>
      <c r="C8" s="3" t="s">
        <v>388</v>
      </c>
      <c r="D8" s="3" t="s">
        <v>389</v>
      </c>
      <c r="E8" s="3" t="s">
        <v>381</v>
      </c>
      <c r="F8" s="3" t="s">
        <v>390</v>
      </c>
    </row>
    <row r="9" spans="1:6" ht="27.6">
      <c r="A9" s="3" t="s">
        <v>391</v>
      </c>
      <c r="B9" s="3" t="s">
        <v>392</v>
      </c>
      <c r="C9" s="3" t="s">
        <v>393</v>
      </c>
      <c r="D9" s="3" t="s">
        <v>394</v>
      </c>
      <c r="E9" s="3" t="s">
        <v>395</v>
      </c>
      <c r="F9" s="3" t="s">
        <v>396</v>
      </c>
    </row>
    <row r="10" spans="1:6">
      <c r="A10" s="3" t="s">
        <v>397</v>
      </c>
      <c r="B10" s="3" t="s">
        <v>41</v>
      </c>
      <c r="C10" s="3" t="s">
        <v>398</v>
      </c>
      <c r="D10" s="3" t="s">
        <v>399</v>
      </c>
      <c r="E10" s="3" t="s">
        <v>395</v>
      </c>
      <c r="F10" s="3" t="s">
        <v>400</v>
      </c>
    </row>
    <row r="11" spans="1:6">
      <c r="A11" s="3" t="s">
        <v>401</v>
      </c>
      <c r="B11" s="3" t="s">
        <v>402</v>
      </c>
      <c r="C11" s="3" t="s">
        <v>403</v>
      </c>
      <c r="D11" s="3" t="s">
        <v>404</v>
      </c>
      <c r="E11" s="3" t="s">
        <v>395</v>
      </c>
      <c r="F11" s="3" t="s">
        <v>405</v>
      </c>
    </row>
    <row r="12" spans="1:6">
      <c r="A12" s="3" t="s">
        <v>406</v>
      </c>
      <c r="B12" s="3" t="s">
        <v>407</v>
      </c>
      <c r="C12" s="3" t="s">
        <v>408</v>
      </c>
      <c r="D12" s="3" t="s">
        <v>409</v>
      </c>
      <c r="E12" s="3" t="s">
        <v>410</v>
      </c>
      <c r="F12" s="3" t="s">
        <v>243</v>
      </c>
    </row>
    <row r="14" spans="1:6">
      <c r="A14" s="1" t="s">
        <v>238</v>
      </c>
      <c r="B14" s="1" t="s">
        <v>411</v>
      </c>
      <c r="C14" s="1" t="s">
        <v>412</v>
      </c>
      <c r="D14" s="1" t="s">
        <v>413</v>
      </c>
      <c r="E14" s="1" t="s">
        <v>414</v>
      </c>
      <c r="F14" s="1" t="s">
        <v>415</v>
      </c>
    </row>
    <row r="15" spans="1:6" ht="27.6">
      <c r="A15" s="3" t="s">
        <v>416</v>
      </c>
      <c r="B15" s="11">
        <v>25</v>
      </c>
      <c r="C15" s="3" t="s">
        <v>417</v>
      </c>
      <c r="D15" s="3" t="s">
        <v>418</v>
      </c>
      <c r="E15" s="3" t="s">
        <v>419</v>
      </c>
      <c r="F15" s="3" t="s">
        <v>420</v>
      </c>
    </row>
    <row r="16" spans="1:6" ht="27.6">
      <c r="A16" s="3" t="s">
        <v>421</v>
      </c>
      <c r="B16" s="11">
        <v>25</v>
      </c>
      <c r="C16" s="3" t="s">
        <v>422</v>
      </c>
      <c r="D16" s="3" t="s">
        <v>423</v>
      </c>
      <c r="E16" s="3" t="s">
        <v>424</v>
      </c>
      <c r="F16" s="3" t="s">
        <v>425</v>
      </c>
    </row>
    <row r="17" spans="1:6" ht="27.6">
      <c r="A17" s="3" t="s">
        <v>426</v>
      </c>
      <c r="B17" s="11">
        <v>20</v>
      </c>
      <c r="C17" s="3" t="s">
        <v>427</v>
      </c>
      <c r="D17" s="3" t="s">
        <v>428</v>
      </c>
      <c r="E17" s="3" t="s">
        <v>429</v>
      </c>
      <c r="F17" s="3" t="s">
        <v>430</v>
      </c>
    </row>
    <row r="18" spans="1:6" ht="27.6">
      <c r="A18" s="3" t="s">
        <v>431</v>
      </c>
      <c r="B18" s="11">
        <v>15</v>
      </c>
      <c r="C18" s="3" t="s">
        <v>432</v>
      </c>
      <c r="D18" s="3" t="s">
        <v>433</v>
      </c>
      <c r="E18" s="3" t="s">
        <v>434</v>
      </c>
      <c r="F18" s="3" t="s">
        <v>435</v>
      </c>
    </row>
    <row r="19" spans="1:6" ht="27.6">
      <c r="A19" s="3" t="s">
        <v>436</v>
      </c>
      <c r="B19" s="11">
        <v>15</v>
      </c>
      <c r="C19" s="3" t="s">
        <v>437</v>
      </c>
      <c r="D19" s="3" t="s">
        <v>438</v>
      </c>
      <c r="E19" s="3" t="s">
        <v>439</v>
      </c>
      <c r="F19" s="3" t="s">
        <v>440</v>
      </c>
    </row>
    <row r="20" spans="1:6">
      <c r="A20" s="10" t="s">
        <v>441</v>
      </c>
      <c r="B20" s="12">
        <f>SUM(B15:B19)</f>
        <v>100</v>
      </c>
      <c r="C20" s="10"/>
      <c r="D20" s="10"/>
      <c r="E20" s="10"/>
      <c r="F20" s="1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Curso</vt:lpstr>
      <vt:lpstr>Planificación 8 Clases</vt:lpstr>
      <vt:lpstr>Matriz Ejercicios</vt:lpstr>
      <vt:lpstr>Proyecto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Cespedes Araya (Alumno)</cp:lastModifiedBy>
  <dcterms:modified xsi:type="dcterms:W3CDTF">2026-05-01T04:48:33Z</dcterms:modified>
</cp:coreProperties>
</file>