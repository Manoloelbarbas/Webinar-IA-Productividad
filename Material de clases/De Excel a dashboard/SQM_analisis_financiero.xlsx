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desafIA\Presentaciones\presentacion_conecta\Webinar Optimiza tu trabajo con IA\De Excel a dashboard\"/>
    </mc:Choice>
  </mc:AlternateContent>
  <xr:revisionPtr revIDLastSave="0" documentId="13_ncr:1_{17B3AFCC-0701-444A-B244-A445D9DAA3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EEFF" sheetId="2" r:id="rId2"/>
    <sheet name="NotasClave" sheetId="3" r:id="rId3"/>
    <sheet name="Segmen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4" l="1"/>
  <c r="D22" i="4"/>
  <c r="K21" i="4"/>
  <c r="D21" i="4"/>
  <c r="K20" i="4"/>
  <c r="D20" i="4"/>
  <c r="K19" i="4"/>
  <c r="D19" i="4"/>
  <c r="K18" i="4"/>
  <c r="D18" i="4"/>
  <c r="K17" i="4"/>
  <c r="D17" i="4"/>
  <c r="M12" i="4"/>
  <c r="F12" i="4"/>
  <c r="M11" i="4"/>
  <c r="F11" i="4"/>
  <c r="M10" i="4"/>
  <c r="F10" i="4"/>
  <c r="M9" i="4"/>
  <c r="F9" i="4"/>
  <c r="M8" i="4"/>
  <c r="F8" i="4"/>
  <c r="M7" i="4"/>
  <c r="F7" i="4"/>
  <c r="M6" i="4"/>
  <c r="F6" i="4"/>
  <c r="C42" i="1"/>
  <c r="B42" i="1"/>
  <c r="C39" i="1"/>
  <c r="B39" i="1"/>
  <c r="C33" i="1"/>
  <c r="B33" i="1"/>
  <c r="C24" i="1"/>
  <c r="B24" i="1"/>
  <c r="D24" i="1" s="1"/>
  <c r="D23" i="1"/>
  <c r="C23" i="1"/>
  <c r="C40" i="1" s="1"/>
  <c r="C41" i="1" s="1"/>
  <c r="B23" i="1"/>
  <c r="B40" i="1" s="1"/>
  <c r="B41" i="1" s="1"/>
  <c r="C22" i="1"/>
  <c r="C35" i="1" s="1"/>
  <c r="B22" i="1"/>
  <c r="B35" i="1" s="1"/>
  <c r="C21" i="1"/>
  <c r="B21" i="1"/>
  <c r="D21" i="1" s="1"/>
  <c r="C19" i="1"/>
  <c r="C38" i="1" s="1"/>
  <c r="B19" i="1"/>
  <c r="D19" i="1" s="1"/>
  <c r="C18" i="1"/>
  <c r="C20" i="1" s="1"/>
  <c r="B18" i="1"/>
  <c r="B20" i="1" s="1"/>
  <c r="D20" i="1" s="1"/>
  <c r="C17" i="1"/>
  <c r="B17" i="1"/>
  <c r="D17" i="1" s="1"/>
  <c r="C16" i="1"/>
  <c r="C31" i="1" s="1"/>
  <c r="B16" i="1"/>
  <c r="B31" i="1" s="1"/>
  <c r="D15" i="1"/>
  <c r="C15" i="1"/>
  <c r="C30" i="1" s="1"/>
  <c r="B15" i="1"/>
  <c r="B30" i="1" s="1"/>
  <c r="C14" i="1"/>
  <c r="C29" i="1" s="1"/>
  <c r="B14" i="1"/>
  <c r="D14" i="1" s="1"/>
  <c r="C13" i="1"/>
  <c r="B13" i="1"/>
  <c r="D13" i="1" s="1"/>
  <c r="L6" i="1"/>
  <c r="K5" i="1"/>
  <c r="D16" i="1" l="1"/>
  <c r="C32" i="1"/>
  <c r="L5" i="1"/>
  <c r="K6" i="1"/>
  <c r="B34" i="1"/>
  <c r="B32" i="1"/>
  <c r="D22" i="1"/>
  <c r="C34" i="1"/>
  <c r="B43" i="1"/>
  <c r="B44" i="1" s="1"/>
  <c r="C43" i="1"/>
  <c r="C44" i="1" s="1"/>
  <c r="B38" i="1"/>
  <c r="D18" i="1"/>
  <c r="B36" i="1"/>
  <c r="C36" i="1"/>
  <c r="B29" i="1"/>
  <c r="B37" i="1"/>
  <c r="C37" i="1"/>
</calcChain>
</file>

<file path=xl/sharedStrings.xml><?xml version="1.0" encoding="utf-8"?>
<sst xmlns="http://schemas.openxmlformats.org/spreadsheetml/2006/main" count="448" uniqueCount="346">
  <si>
    <t>Inputs de mercado (editables)</t>
  </si>
  <si>
    <t>Año</t>
  </si>
  <si>
    <t>Ingresos</t>
  </si>
  <si>
    <t>CFO</t>
  </si>
  <si>
    <t>Precio ADR SQM (USD)</t>
  </si>
  <si>
    <t>Acciones en circulación (millones)</t>
  </si>
  <si>
    <t>Fecha precio</t>
  </si>
  <si>
    <t>2026-04-15 13:38 EDT</t>
  </si>
  <si>
    <t>P/E trailing de referencia</t>
  </si>
  <si>
    <t>Segmento 2025</t>
  </si>
  <si>
    <t>Métricas financieras resumidas</t>
  </si>
  <si>
    <t>Nutrición vegetal de especialidad</t>
  </si>
  <si>
    <t>Métrica</t>
  </si>
  <si>
    <t>2025</t>
  </si>
  <si>
    <t>2024</t>
  </si>
  <si>
    <t>Var.%</t>
  </si>
  <si>
    <t>Lectura</t>
  </si>
  <si>
    <t>Base</t>
  </si>
  <si>
    <t>Fuente</t>
  </si>
  <si>
    <t>Yodo y derivados</t>
  </si>
  <si>
    <t>Leve alza</t>
  </si>
  <si>
    <t>Estado de resultados</t>
  </si>
  <si>
    <t>p.19</t>
  </si>
  <si>
    <t>Litio y derivados</t>
  </si>
  <si>
    <t>Ganancia bruta</t>
  </si>
  <si>
    <t>Margen estable</t>
  </si>
  <si>
    <t>Químicos industriales</t>
  </si>
  <si>
    <t>Ganancia operacional</t>
  </si>
  <si>
    <t>EBIT estable</t>
  </si>
  <si>
    <t>Potasio</t>
  </si>
  <si>
    <t>Ganancia neta</t>
  </si>
  <si>
    <t>Vuelta a utilidad</t>
  </si>
  <si>
    <t>Otros productos y servicios</t>
  </si>
  <si>
    <t>EBITDA aprox.</t>
  </si>
  <si>
    <t>Mejora operativa</t>
  </si>
  <si>
    <t>EBIT + D&amp;A segmentado</t>
  </si>
  <si>
    <t>pp.155-156</t>
  </si>
  <si>
    <t>Flujo operativo</t>
  </si>
  <si>
    <t>Caja operativa al alza</t>
  </si>
  <si>
    <t>pp.21-22</t>
  </si>
  <si>
    <t>Capex</t>
  </si>
  <si>
    <t>Capex algo menor</t>
  </si>
  <si>
    <t>Capex bruto</t>
  </si>
  <si>
    <t>p.21</t>
  </si>
  <si>
    <t>Flujo libre aprox.</t>
  </si>
  <si>
    <t>FCF mejora fuerte</t>
  </si>
  <si>
    <t>CFO - Capex</t>
  </si>
  <si>
    <t>Caja y equivalentes</t>
  </si>
  <si>
    <t>Caja sube</t>
  </si>
  <si>
    <t>Balance</t>
  </si>
  <si>
    <t>p.17</t>
  </si>
  <si>
    <t>Deuda financiera total</t>
  </si>
  <si>
    <t>Deuda baja levemente</t>
  </si>
  <si>
    <t>Nota 13.4</t>
  </si>
  <si>
    <t>p.86</t>
  </si>
  <si>
    <t>Patrimonio controladora</t>
  </si>
  <si>
    <t>Equity crece</t>
  </si>
  <si>
    <t>p.18</t>
  </si>
  <si>
    <t>Activos totales</t>
  </si>
  <si>
    <t>Balance crece</t>
  </si>
  <si>
    <t>Ratios y valoración</t>
  </si>
  <si>
    <t>Ratio</t>
  </si>
  <si>
    <t>Interpretación</t>
  </si>
  <si>
    <t>Margen bruto</t>
  </si>
  <si>
    <t>Fuerte si &gt;28%</t>
  </si>
  <si>
    <t>Mejor que 2024</t>
  </si>
  <si>
    <t>Ganancia bruta / Ingresos</t>
  </si>
  <si>
    <t>Margen operacional</t>
  </si>
  <si>
    <t>Fuerte si &gt;20%</t>
  </si>
  <si>
    <t>Sólido</t>
  </si>
  <si>
    <t>EBIT / Ingresos</t>
  </si>
  <si>
    <t>Margen neto</t>
  </si>
  <si>
    <t>Salud final</t>
  </si>
  <si>
    <t>Recuperado</t>
  </si>
  <si>
    <t>Utilidad neta / Ingresos</t>
  </si>
  <si>
    <t>Margen CFO</t>
  </si>
  <si>
    <t>Caja operativa</t>
  </si>
  <si>
    <t>CFO / Ingresos</t>
  </si>
  <si>
    <t>Current ratio</t>
  </si>
  <si>
    <t>Liquidez</t>
  </si>
  <si>
    <t>Holgado</t>
  </si>
  <si>
    <t>Activos corrientes / Pasivos corrientes</t>
  </si>
  <si>
    <t>pp.17-18</t>
  </si>
  <si>
    <t>Deuda / patrimonio controladora</t>
  </si>
  <si>
    <t>Apalancamiento</t>
  </si>
  <si>
    <t>Menor es mejor</t>
  </si>
  <si>
    <t>Deuda financiera / Equity controladora</t>
  </si>
  <si>
    <t>pp.18, 86</t>
  </si>
  <si>
    <t>Deuda / activos</t>
  </si>
  <si>
    <t>Estructura</t>
  </si>
  <si>
    <t>Deuda financiera / Activos</t>
  </si>
  <si>
    <t>pp.17, 86</t>
  </si>
  <si>
    <t>ROA</t>
  </si>
  <si>
    <t>Rentabilidad</t>
  </si>
  <si>
    <t>Positivo</t>
  </si>
  <si>
    <t>Utilidad neta / Activos</t>
  </si>
  <si>
    <t>pp.17,19</t>
  </si>
  <si>
    <t>ROE controladora</t>
  </si>
  <si>
    <t>Rentabilidad accionista</t>
  </si>
  <si>
    <t>Utilidad controladora / Equity controladora</t>
  </si>
  <si>
    <t>pp.18-19</t>
  </si>
  <si>
    <t>Capex / CFO</t>
  </si>
  <si>
    <t>Intensidad inversión</t>
  </si>
  <si>
    <t>Tasa efectiva de impuesto</t>
  </si>
  <si>
    <t>Carga tributaria</t>
  </si>
  <si>
    <t>33% razonable vs 2024</t>
  </si>
  <si>
    <t>Impuesto / PBT</t>
  </si>
  <si>
    <t>pp.19,176</t>
  </si>
  <si>
    <t>BVPS controladora (USD)</t>
  </si>
  <si>
    <t>Valor libro/acción</t>
  </si>
  <si>
    <t>Base patrimonial</t>
  </si>
  <si>
    <t>Equity controladora / acciones</t>
  </si>
  <si>
    <t>pp.18 + web</t>
  </si>
  <si>
    <t>P/B implícito</t>
  </si>
  <si>
    <t>Múltiplo patrimonial</t>
  </si>
  <si>
    <t>No luce barato</t>
  </si>
  <si>
    <t>Precio / BVPS</t>
  </si>
  <si>
    <t>Market cap implícito (US$ MM)</t>
  </si>
  <si>
    <t>Cap. bursátil</t>
  </si>
  <si>
    <t>Tamaño bursátil</t>
  </si>
  <si>
    <t>Precio x acciones</t>
  </si>
  <si>
    <t>web</t>
  </si>
  <si>
    <t>EV aprox. (US$ MM)</t>
  </si>
  <si>
    <t>Valor empresa</t>
  </si>
  <si>
    <t>Valor empresa alto</t>
  </si>
  <si>
    <t>Market cap + deuda - caja</t>
  </si>
  <si>
    <t>web + EEFF</t>
  </si>
  <si>
    <t>EV / EBITDA aprox.</t>
  </si>
  <si>
    <t>Múltiplo operativo</t>
  </si>
  <si>
    <t>No luce bajo</t>
  </si>
  <si>
    <t>SQM – Estados financieros clave 2025 vs 2024</t>
  </si>
  <si>
    <t>Concepto</t>
  </si>
  <si>
    <t>Var. abs.</t>
  </si>
  <si>
    <t>Estado de situación financiera – Activos</t>
  </si>
  <si>
    <t>Activos corrientes</t>
  </si>
  <si>
    <t>Efectivo y equivalentes al efectivo</t>
  </si>
  <si>
    <t>Otros activos financieros corrientes</t>
  </si>
  <si>
    <t>Otros activos no financieros corrientes</t>
  </si>
  <si>
    <t>Deudores comerciales y otras cuentas por cobrar corrientes</t>
  </si>
  <si>
    <t>Cuentas por cobrar a entidades relacionadas corrientes</t>
  </si>
  <si>
    <t>Inventarios corrientes</t>
  </si>
  <si>
    <t>Activos por impuestos corrientes</t>
  </si>
  <si>
    <t>Total activos corrientes distintos de activos mantenidos para la venta</t>
  </si>
  <si>
    <t>Activos mantenidos para la venta</t>
  </si>
  <si>
    <t>Total activos corrientes</t>
  </si>
  <si>
    <t>Activos no corrientes</t>
  </si>
  <si>
    <t>Otros activos financieros no corrientes</t>
  </si>
  <si>
    <t>Otros activos no financieros no corrientes</t>
  </si>
  <si>
    <t>Cuentas por cobrar no corrientes</t>
  </si>
  <si>
    <t>Inversiones método de participación</t>
  </si>
  <si>
    <t>Activos intangibles distintos de la plusvalía</t>
  </si>
  <si>
    <t>Plusvalía</t>
  </si>
  <si>
    <t>Propiedades, plantas y equipos</t>
  </si>
  <si>
    <t>Activos por derechos de uso</t>
  </si>
  <si>
    <t>Activos por impuestos no corrientes</t>
  </si>
  <si>
    <t>Activos por impuestos diferidos</t>
  </si>
  <si>
    <t>Total activos no corrientes</t>
  </si>
  <si>
    <t>Total activos</t>
  </si>
  <si>
    <t>Estado de situación financiera – Pasivos y patrimonio</t>
  </si>
  <si>
    <t>Pasivos corrientes</t>
  </si>
  <si>
    <t>Otros pasivos financieros corrientes</t>
  </si>
  <si>
    <t>Pasivos por arrendamiento corrientes</t>
  </si>
  <si>
    <t>Cuentas por pagar comerciales y otras cuentas por pagar corrientes</t>
  </si>
  <si>
    <t>Cuentas por pagar a entidades relacionadas corrientes</t>
  </si>
  <si>
    <t>Otras provisiones corrientes</t>
  </si>
  <si>
    <t>Pasivos por impuestos corrientes</t>
  </si>
  <si>
    <t>Provisiones por beneficios a los trabajadores corrientes</t>
  </si>
  <si>
    <t>Otros pasivos no financieros corrientes</t>
  </si>
  <si>
    <t>Total pasivos corrientes</t>
  </si>
  <si>
    <t>Pasivos no corrientes</t>
  </si>
  <si>
    <t>Otros pasivos financieros no corrientes</t>
  </si>
  <si>
    <t>Pasivos por arrendamiento no corrientes</t>
  </si>
  <si>
    <t>Otras provisiones no corrientes</t>
  </si>
  <si>
    <t>Pasivo por impuestos diferidos</t>
  </si>
  <si>
    <t>Provisiones por beneficios a los trabajadores no corrientes</t>
  </si>
  <si>
    <t>Total pasivos no corrientes</t>
  </si>
  <si>
    <t>Total pasivos</t>
  </si>
  <si>
    <t>Patrimonio</t>
  </si>
  <si>
    <t>Capital emitido</t>
  </si>
  <si>
    <t>Ganancias acumuladas</t>
  </si>
  <si>
    <t>Otras reservas</t>
  </si>
  <si>
    <t>Patrimonio atribuible a la controladora</t>
  </si>
  <si>
    <t>Participaciones no controladoras</t>
  </si>
  <si>
    <t>Total patrimonio</t>
  </si>
  <si>
    <t>Total pasivos y patrimonio</t>
  </si>
  <si>
    <t>Ingresos de actividades ordinarias</t>
  </si>
  <si>
    <t>Costos de ventas</t>
  </si>
  <si>
    <t>Otros ingresos</t>
  </si>
  <si>
    <t>Gastos de administración</t>
  </si>
  <si>
    <t>Otros gastos</t>
  </si>
  <si>
    <t>Deterioro / reversión de pérdidas en activos financieros</t>
  </si>
  <si>
    <t>Otras pérdidas</t>
  </si>
  <si>
    <t>Ganancia de actividades operacionales</t>
  </si>
  <si>
    <t>Ingresos financieros</t>
  </si>
  <si>
    <t>Costos financieros</t>
  </si>
  <si>
    <t>Participación en asociadas y negocios conjuntos</t>
  </si>
  <si>
    <t>Diferencias de cambio</t>
  </si>
  <si>
    <t>Ganancia antes de impuestos</t>
  </si>
  <si>
    <t>Gasto por impuestos a las ganancias</t>
  </si>
  <si>
    <t>Ganancia (pérdida) neta</t>
  </si>
  <si>
    <t>Ganancia atribuible a la controladora</t>
  </si>
  <si>
    <t>Ganancia atribuible a participaciones no controladoras</t>
  </si>
  <si>
    <t>EPS (US$ por acción)</t>
  </si>
  <si>
    <t>Estado de flujos de efectivo</t>
  </si>
  <si>
    <t>Cobros por ventas de bienes y servicios</t>
  </si>
  <si>
    <t>Pagos a proveedores</t>
  </si>
  <si>
    <t>Pagos por arrendamiento variable NIIF 16</t>
  </si>
  <si>
    <t>Otros pagos por actividades de operación</t>
  </si>
  <si>
    <t>Flujos netos procedentes de operaciones</t>
  </si>
  <si>
    <t>Dividendos recibidos</t>
  </si>
  <si>
    <t>Intereses pagados</t>
  </si>
  <si>
    <t>Intereses relacionados a arrendamientos</t>
  </si>
  <si>
    <t>Intereses recibidos</t>
  </si>
  <si>
    <t>Impuestos a las ganancias pagados</t>
  </si>
  <si>
    <t>Otras entradas de efectivo operacionales</t>
  </si>
  <si>
    <t>Flujos de efectivo de actividades de operación</t>
  </si>
  <si>
    <t>Compra / venta de participaciones en asociadas y negocios conjuntos</t>
  </si>
  <si>
    <t>Adquisición de instrumentos de patrimonio</t>
  </si>
  <si>
    <t>Adquisición de subsidiarias</t>
  </si>
  <si>
    <t>Venta de propiedades, plantas y equipos</t>
  </si>
  <si>
    <t>Pago de préstamos de entidades relacionadas</t>
  </si>
  <si>
    <t>Compras de propiedades, plantas y equipos (Capex)</t>
  </si>
  <si>
    <t>Venta de activos intangibles</t>
  </si>
  <si>
    <t>Préstamos con entidades relacionadas</t>
  </si>
  <si>
    <t>Adquisición de otros activos a largo plazo</t>
  </si>
  <si>
    <t>Otras entradas de efectivo de inversión</t>
  </si>
  <si>
    <t>Flujos de efectivo de actividades de inversión</t>
  </si>
  <si>
    <t>Pagos de pasivos por arrendamiento</t>
  </si>
  <si>
    <t>Préstamos de largo plazo recibidos</t>
  </si>
  <si>
    <t>Préstamos de corto plazo recibidos</t>
  </si>
  <si>
    <t>Pagos de préstamos y coberturas asociadas</t>
  </si>
  <si>
    <t>Cobros de coberturas asociadas a préstamos</t>
  </si>
  <si>
    <t>Dividendos pagados</t>
  </si>
  <si>
    <t>Flujos de efectivo de actividades de financiación</t>
  </si>
  <si>
    <t>Incremento neto de efectivo antes de tipo de cambio</t>
  </si>
  <si>
    <t>Efecto de variaciones de tipo de cambio</t>
  </si>
  <si>
    <t>Incremento de efectivo y equivalentes</t>
  </si>
  <si>
    <t>Efectivo inicial</t>
  </si>
  <si>
    <t>Efectivo final</t>
  </si>
  <si>
    <t>SQM – Notas clave para análisis financiero</t>
  </si>
  <si>
    <t>Tablas de inventarios, deuda, intangibles, PP&amp;E, impuestos y riesgos materiales.</t>
  </si>
  <si>
    <t>Inventarios y provisiones</t>
  </si>
  <si>
    <t>Detalle</t>
  </si>
  <si>
    <t>Materia prima y suministros para la producción</t>
  </si>
  <si>
    <t>Productos en proceso</t>
  </si>
  <si>
    <t>Productos terminados</t>
  </si>
  <si>
    <t>Total inventarios</t>
  </si>
  <si>
    <t>Inventarios a granel en proceso</t>
  </si>
  <si>
    <t>Inventarios a granel terminados</t>
  </si>
  <si>
    <t>Provisión materias primas</t>
  </si>
  <si>
    <t>Provisión productos en proceso</t>
  </si>
  <si>
    <t>Provisión productos terminados</t>
  </si>
  <si>
    <t>Total provisiones de inventario</t>
  </si>
  <si>
    <t>Deuda financiera – resumen</t>
  </si>
  <si>
    <t>Corriente 2025</t>
  </si>
  <si>
    <t>No corriente 2025</t>
  </si>
  <si>
    <t>Total 2025</t>
  </si>
  <si>
    <t>Total 2024</t>
  </si>
  <si>
    <t>Préstamos bancarios</t>
  </si>
  <si>
    <t>Obligaciones con el público</t>
  </si>
  <si>
    <t>Derivados con fines de cobertura</t>
  </si>
  <si>
    <t>Derivados con fines de no cobertura</t>
  </si>
  <si>
    <t>Total otros pasivos financieros</t>
  </si>
  <si>
    <t>Bonos / obligaciones no garantizadas</t>
  </si>
  <si>
    <t>Serie</t>
  </si>
  <si>
    <t>Vencimiento</t>
  </si>
  <si>
    <t>Moneda</t>
  </si>
  <si>
    <t>Valor libro 2025</t>
  </si>
  <si>
    <t>MMUS$450</t>
  </si>
  <si>
    <t>2029-05-07</t>
  </si>
  <si>
    <t>US$</t>
  </si>
  <si>
    <t>MMUS$400</t>
  </si>
  <si>
    <t>2050-01-22</t>
  </si>
  <si>
    <t>MMUS$700</t>
  </si>
  <si>
    <t>2051-09-10</t>
  </si>
  <si>
    <t>MMUS$750</t>
  </si>
  <si>
    <t>2033-11-07</t>
  </si>
  <si>
    <t>MMUS$850</t>
  </si>
  <si>
    <t>2034-09-10</t>
  </si>
  <si>
    <t>H</t>
  </si>
  <si>
    <t>2030-01-05</t>
  </si>
  <si>
    <t>UF</t>
  </si>
  <si>
    <t>O</t>
  </si>
  <si>
    <t>2033-02-01</t>
  </si>
  <si>
    <t>P</t>
  </si>
  <si>
    <t>2028-01-15</t>
  </si>
  <si>
    <t>Q</t>
  </si>
  <si>
    <t>2038-06-01</t>
  </si>
  <si>
    <t>S</t>
  </si>
  <si>
    <t>2058-02-15</t>
  </si>
  <si>
    <t>Activos intangibles</t>
  </si>
  <si>
    <t>Vida útil</t>
  </si>
  <si>
    <t>Programas informáticos</t>
  </si>
  <si>
    <t>Finita</t>
  </si>
  <si>
    <t>Pertenencia minera</t>
  </si>
  <si>
    <t>Derechos de agua y servidumbres</t>
  </si>
  <si>
    <t>Indefinida</t>
  </si>
  <si>
    <t>Derechos de agua</t>
  </si>
  <si>
    <t>Propiedad intelectual</t>
  </si>
  <si>
    <t>Contrato Corfo</t>
  </si>
  <si>
    <t>Otros activos intangibles</t>
  </si>
  <si>
    <t>Total activos intangibles</t>
  </si>
  <si>
    <t>Propiedades, plantas y equipos (neto)</t>
  </si>
  <si>
    <t>Terrenos</t>
  </si>
  <si>
    <t>Edificios</t>
  </si>
  <si>
    <t>Otros activos fijos</t>
  </si>
  <si>
    <t>Equipos de transporte</t>
  </si>
  <si>
    <t>Enseres y accesorios</t>
  </si>
  <si>
    <t>Equipo de oficina</t>
  </si>
  <si>
    <t>Equipos de redes y comunicación</t>
  </si>
  <si>
    <t>Activos de minería</t>
  </si>
  <si>
    <t>Equipos informáticos</t>
  </si>
  <si>
    <t>Activos generadores de energía</t>
  </si>
  <si>
    <t>Construcciones en proceso</t>
  </si>
  <si>
    <t>Maquinarias, plantas y equipos</t>
  </si>
  <si>
    <t>Total PP&amp;E neto</t>
  </si>
  <si>
    <t>Conciliación tributaria / tasa efectiva</t>
  </si>
  <si>
    <t>Resultado antes de impuestos</t>
  </si>
  <si>
    <t>Tasa legal en Chile</t>
  </si>
  <si>
    <t>Gasto teórico a tasa legal</t>
  </si>
  <si>
    <t>Impuesto específico actividad minera</t>
  </si>
  <si>
    <t>Impuesto específico aplicado al litio</t>
  </si>
  <si>
    <t>Otros impuestos del extranjero</t>
  </si>
  <si>
    <t>Ingresos/gastos exentos</t>
  </si>
  <si>
    <t>Gastos no deducibles</t>
  </si>
  <si>
    <t>Diferencia de tasas de filiales extranjeras</t>
  </si>
  <si>
    <t>Reconocimiento de pérdidas tributarias</t>
  </si>
  <si>
    <t>Otros efectos fiscales</t>
  </si>
  <si>
    <t>SQM – Segmentos operativos y geografía</t>
  </si>
  <si>
    <t>Desglose por negocio y por área geográfica. Cifras en MUS$.</t>
  </si>
  <si>
    <t>Segmentos 2025</t>
  </si>
  <si>
    <t>Segmentos 2024</t>
  </si>
  <si>
    <t>Segmento</t>
  </si>
  <si>
    <t>Costo de ventas</t>
  </si>
  <si>
    <t>Mix ventas</t>
  </si>
  <si>
    <t>Total</t>
  </si>
  <si>
    <t>Geografía 2025</t>
  </si>
  <si>
    <t>Geografía 2024</t>
  </si>
  <si>
    <t>Región</t>
  </si>
  <si>
    <t>Mix ingresos</t>
  </si>
  <si>
    <t>Chile</t>
  </si>
  <si>
    <t>Europa</t>
  </si>
  <si>
    <t>América Latina y Caribe</t>
  </si>
  <si>
    <t>América del Norte</t>
  </si>
  <si>
    <t>Asia y Otros</t>
  </si>
  <si>
    <t>SQM – Dashboard financiero base para decisión de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</si>
</sst>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.0%"/>
    <numFmt numFmtId="166" formatCode="#,##0;[Red]\-#,##0;\–"/>
  </numFmts>
  <fonts count="7">
    <font>
      <sz val="11"/>
      <name val="Carlito"/>
    </font>
    <font>
      <b/>
      <sz val="10"/>
      <color rgb="FF111827"/>
      <name val="Aptos"/>
    </font>
    <font>
      <sz val="10"/>
      <color rgb="FF111827"/>
      <name val="Aptos"/>
    </font>
    <font>
      <b/>
      <sz val="16"/>
      <color rgb="FF1F4E79"/>
      <name val="Aptos Display"/>
    </font>
    <font>
      <b/>
      <sz val="11"/>
      <color rgb="FF1F4E79"/>
      <name val="Aptos"/>
    </font>
    <font>
      <b/>
      <sz val="10"/>
      <color rgb="FF1F4E79"/>
      <name val="Aptos"/>
    </font>
    <font>
      <i/>
      <sz val="10"/>
      <color rgb="FF4B5563"/>
      <name val="Aptos"/>
    </font>
  </fonts>
  <fills count="7">
    <fill>
      <patternFill patternType="none"/>
    </fill>
    <fill>
      <patternFill patternType="gray125"/>
    </fill>
    <fill>
      <patternFill patternType="solid">
        <fgColor rgb="FFEEF6FC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FFFFFF"/>
      </left>
      <right style="thin">
        <color rgb="FFD9E2EC"/>
      </right>
      <top style="thin">
        <color rgb="FFFFFFFF"/>
      </top>
      <bottom style="thin">
        <color rgb="FFFFFFFF"/>
      </bottom>
      <diagonal/>
    </border>
    <border>
      <left style="thin">
        <color rgb="FFD9E2EC"/>
      </left>
      <right style="thin">
        <color rgb="FFD9E2EC"/>
      </right>
      <top style="thin">
        <color rgb="FFFFFFFF"/>
      </top>
      <bottom style="thin">
        <color rgb="FFFFFFFF"/>
      </bottom>
      <diagonal/>
    </border>
    <border>
      <left style="thin">
        <color rgb="FFD9E2EC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166" fontId="5" fillId="3" borderId="1" xfId="0" applyNumberFormat="1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1" fontId="1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6" fontId="5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zoomScale="80" zoomScaleNormal="80" workbookViewId="0">
      <selection activeCell="D17" sqref="D17"/>
    </sheetView>
  </sheetViews>
  <sheetFormatPr baseColWidth="10" defaultColWidth="8.796875" defaultRowHeight="13.8"/>
  <cols>
    <col min="1" max="1" width="35" customWidth="1"/>
    <col min="2" max="2" width="17.19921875" customWidth="1"/>
    <col min="3" max="3" width="15" customWidth="1"/>
    <col min="4" max="4" width="11" customWidth="1"/>
    <col min="5" max="5" width="18" customWidth="1"/>
    <col min="6" max="6" width="31" customWidth="1"/>
    <col min="7" max="7" width="13" customWidth="1"/>
    <col min="8" max="9" width="3" customWidth="1"/>
    <col min="10" max="10" width="35" customWidth="1"/>
    <col min="11" max="12" width="14" customWidth="1"/>
    <col min="13" max="21" width="3" customWidth="1"/>
  </cols>
  <sheetData>
    <row r="1" spans="1:21" ht="24" customHeight="1">
      <c r="A1" s="7" t="s">
        <v>345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"/>
      <c r="N1" s="1"/>
      <c r="O1" s="1"/>
      <c r="P1" s="1"/>
      <c r="Q1" s="1"/>
      <c r="R1" s="1"/>
      <c r="S1" s="1"/>
      <c r="T1" s="1"/>
      <c r="U1" s="1"/>
    </row>
    <row r="2" spans="1:21" ht="14.4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14.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8.45" customHeight="1">
      <c r="A4" s="32" t="s">
        <v>0</v>
      </c>
      <c r="B4" s="32"/>
      <c r="C4" s="35"/>
      <c r="D4" s="35"/>
      <c r="E4" s="2"/>
      <c r="F4" s="2"/>
      <c r="G4" s="2"/>
      <c r="H4" s="2"/>
      <c r="I4" s="2"/>
      <c r="J4" s="37" t="s">
        <v>1</v>
      </c>
      <c r="K4" s="38" t="s">
        <v>2</v>
      </c>
      <c r="L4" s="38" t="s">
        <v>3</v>
      </c>
      <c r="M4" s="2"/>
      <c r="N4" s="2"/>
      <c r="O4" s="2"/>
      <c r="P4" s="2"/>
      <c r="Q4" s="2"/>
      <c r="R4" s="2"/>
      <c r="S4" s="2"/>
      <c r="T4" s="2"/>
      <c r="U4" s="2"/>
    </row>
    <row r="5" spans="1:21" ht="14.4" customHeight="1">
      <c r="A5" s="1" t="s">
        <v>4</v>
      </c>
      <c r="B5" s="11">
        <v>87.81</v>
      </c>
      <c r="C5" s="12"/>
      <c r="D5" s="12"/>
      <c r="E5" s="12"/>
      <c r="F5" s="12"/>
      <c r="G5" s="12"/>
      <c r="H5" s="2"/>
      <c r="I5" s="2"/>
      <c r="J5" s="30">
        <v>2024</v>
      </c>
      <c r="K5" s="14">
        <f>C13</f>
        <v>4528761</v>
      </c>
      <c r="L5" s="14">
        <f>C18</f>
        <v>1274678</v>
      </c>
      <c r="M5" s="2"/>
      <c r="N5" s="2"/>
      <c r="O5" s="2"/>
      <c r="P5" s="2"/>
      <c r="Q5" s="2"/>
      <c r="R5" s="2"/>
      <c r="S5" s="2"/>
      <c r="T5" s="2"/>
      <c r="U5" s="2"/>
    </row>
    <row r="6" spans="1:21" ht="14.4" customHeight="1">
      <c r="A6" s="1" t="s">
        <v>5</v>
      </c>
      <c r="B6" s="11">
        <v>285.64</v>
      </c>
      <c r="C6" s="12"/>
      <c r="D6" s="12"/>
      <c r="E6" s="12"/>
      <c r="F6" s="12"/>
      <c r="G6" s="12"/>
      <c r="H6" s="2"/>
      <c r="I6" s="2"/>
      <c r="J6" s="30">
        <v>2025</v>
      </c>
      <c r="K6" s="14">
        <f>B13</f>
        <v>4576224</v>
      </c>
      <c r="L6" s="14">
        <f>B18</f>
        <v>1314367</v>
      </c>
      <c r="M6" s="2"/>
      <c r="N6" s="2"/>
      <c r="O6" s="2"/>
      <c r="P6" s="2"/>
      <c r="Q6" s="2"/>
      <c r="R6" s="2"/>
      <c r="S6" s="2"/>
      <c r="T6" s="2"/>
      <c r="U6" s="2"/>
    </row>
    <row r="7" spans="1:21" ht="14.4" customHeight="1">
      <c r="A7" s="1" t="s">
        <v>6</v>
      </c>
      <c r="B7" s="11" t="s">
        <v>7</v>
      </c>
      <c r="C7" s="12"/>
      <c r="D7" s="12"/>
      <c r="E7" s="12"/>
      <c r="F7" s="12"/>
      <c r="G7" s="12"/>
      <c r="H7" s="2"/>
      <c r="I7" s="2"/>
      <c r="J7" s="17"/>
      <c r="K7" s="12"/>
      <c r="L7" s="12"/>
      <c r="M7" s="2"/>
      <c r="N7" s="2"/>
      <c r="O7" s="2"/>
      <c r="P7" s="2"/>
      <c r="Q7" s="2"/>
      <c r="R7" s="2"/>
      <c r="S7" s="2"/>
      <c r="T7" s="2"/>
      <c r="U7" s="2"/>
    </row>
    <row r="8" spans="1:21" ht="14.4" customHeight="1">
      <c r="A8" s="1" t="s">
        <v>8</v>
      </c>
      <c r="B8" s="11">
        <v>43.19</v>
      </c>
      <c r="C8" s="12"/>
      <c r="D8" s="12"/>
      <c r="E8" s="12"/>
      <c r="F8" s="12"/>
      <c r="G8" s="12"/>
      <c r="H8" s="2"/>
      <c r="I8" s="2"/>
      <c r="J8" s="17"/>
      <c r="K8" s="12"/>
      <c r="L8" s="12"/>
      <c r="M8" s="2"/>
      <c r="N8" s="2"/>
      <c r="O8" s="2"/>
      <c r="P8" s="2"/>
      <c r="Q8" s="2"/>
      <c r="R8" s="2"/>
      <c r="S8" s="2"/>
      <c r="T8" s="2"/>
      <c r="U8" s="2"/>
    </row>
    <row r="9" spans="1:21" ht="14.4" customHeight="1">
      <c r="A9" s="1"/>
      <c r="B9" s="36"/>
      <c r="C9" s="36"/>
      <c r="D9" s="36"/>
      <c r="E9" s="12"/>
      <c r="F9" s="12"/>
      <c r="G9" s="12"/>
      <c r="H9" s="2"/>
      <c r="I9" s="2"/>
      <c r="J9" s="17"/>
      <c r="K9" s="12"/>
      <c r="L9" s="12"/>
      <c r="M9" s="2"/>
      <c r="N9" s="2"/>
      <c r="O9" s="2"/>
      <c r="P9" s="2"/>
      <c r="Q9" s="2"/>
      <c r="R9" s="2"/>
      <c r="S9" s="2"/>
      <c r="T9" s="2"/>
      <c r="U9" s="2"/>
    </row>
    <row r="10" spans="1:21" ht="18.45" customHeight="1">
      <c r="A10" s="2"/>
      <c r="B10" s="12"/>
      <c r="C10" s="12"/>
      <c r="D10" s="12"/>
      <c r="E10" s="12"/>
      <c r="F10" s="12"/>
      <c r="G10" s="12"/>
      <c r="H10" s="2"/>
      <c r="I10" s="2"/>
      <c r="J10" s="32" t="s">
        <v>9</v>
      </c>
      <c r="K10" s="33" t="s">
        <v>2</v>
      </c>
      <c r="L10" s="12"/>
      <c r="M10" s="2"/>
      <c r="N10" s="2"/>
      <c r="O10" s="2"/>
      <c r="P10" s="2"/>
      <c r="Q10" s="2"/>
      <c r="R10" s="2"/>
      <c r="S10" s="2"/>
      <c r="T10" s="2"/>
      <c r="U10" s="2"/>
    </row>
    <row r="11" spans="1:21" ht="18.45" customHeight="1">
      <c r="A11" s="32" t="s">
        <v>10</v>
      </c>
      <c r="B11" s="33"/>
      <c r="C11" s="33"/>
      <c r="D11" s="33"/>
      <c r="E11" s="33"/>
      <c r="F11" s="33"/>
      <c r="G11" s="33"/>
      <c r="H11" s="2"/>
      <c r="I11" s="2"/>
      <c r="J11" s="17" t="s">
        <v>11</v>
      </c>
      <c r="K11" s="14">
        <v>982397</v>
      </c>
      <c r="L11" s="12"/>
      <c r="M11" s="2"/>
      <c r="N11" s="2"/>
      <c r="O11" s="2"/>
      <c r="P11" s="2"/>
      <c r="Q11" s="2"/>
      <c r="R11" s="2"/>
      <c r="S11" s="2"/>
      <c r="T11" s="2"/>
      <c r="U11" s="2"/>
    </row>
    <row r="12" spans="1:21" ht="19.95" customHeight="1">
      <c r="A12" s="10" t="s">
        <v>12</v>
      </c>
      <c r="B12" s="13" t="s">
        <v>13</v>
      </c>
      <c r="C12" s="13" t="s">
        <v>14</v>
      </c>
      <c r="D12" s="13" t="s">
        <v>15</v>
      </c>
      <c r="E12" s="13" t="s">
        <v>16</v>
      </c>
      <c r="F12" s="13" t="s">
        <v>17</v>
      </c>
      <c r="G12" s="13" t="s">
        <v>18</v>
      </c>
      <c r="H12" s="2"/>
      <c r="I12" s="2"/>
      <c r="J12" s="17" t="s">
        <v>19</v>
      </c>
      <c r="K12" s="14">
        <v>1042780</v>
      </c>
      <c r="L12" s="12"/>
      <c r="M12" s="2"/>
      <c r="N12" s="2"/>
      <c r="O12" s="2"/>
      <c r="P12" s="2"/>
      <c r="Q12" s="2"/>
      <c r="R12" s="2"/>
      <c r="S12" s="2"/>
      <c r="T12" s="2"/>
      <c r="U12" s="2"/>
    </row>
    <row r="13" spans="1:21" ht="14.4" customHeight="1">
      <c r="A13" s="2" t="s">
        <v>2</v>
      </c>
      <c r="B13" s="14">
        <f>EEFF!B62</f>
        <v>4576224</v>
      </c>
      <c r="C13" s="14">
        <f>EEFF!C62</f>
        <v>4528761</v>
      </c>
      <c r="D13" s="15">
        <f t="shared" ref="D13:D24" si="0">IFERROR(B13/C13-1,"")</f>
        <v>1.0480349923522203E-2</v>
      </c>
      <c r="E13" s="17" t="s">
        <v>20</v>
      </c>
      <c r="F13" s="17" t="s">
        <v>21</v>
      </c>
      <c r="G13" s="17" t="s">
        <v>22</v>
      </c>
      <c r="H13" s="2"/>
      <c r="I13" s="2"/>
      <c r="J13" s="17" t="s">
        <v>23</v>
      </c>
      <c r="K13" s="14">
        <v>2288245</v>
      </c>
      <c r="L13" s="12"/>
      <c r="M13" s="2"/>
      <c r="N13" s="2"/>
      <c r="O13" s="2"/>
      <c r="P13" s="2"/>
      <c r="Q13" s="2"/>
      <c r="R13" s="2"/>
      <c r="S13" s="2"/>
      <c r="T13" s="2"/>
      <c r="U13" s="2"/>
    </row>
    <row r="14" spans="1:21" ht="14.4" customHeight="1">
      <c r="A14" s="2" t="s">
        <v>24</v>
      </c>
      <c r="B14" s="14">
        <f>EEFF!B64</f>
        <v>1352600</v>
      </c>
      <c r="C14" s="14">
        <f>EEFF!C64</f>
        <v>1327107</v>
      </c>
      <c r="D14" s="15">
        <f t="shared" si="0"/>
        <v>1.9209453344756655E-2</v>
      </c>
      <c r="E14" s="17" t="s">
        <v>25</v>
      </c>
      <c r="F14" s="17" t="s">
        <v>21</v>
      </c>
      <c r="G14" s="17" t="s">
        <v>22</v>
      </c>
      <c r="H14" s="2"/>
      <c r="I14" s="2"/>
      <c r="J14" s="17" t="s">
        <v>26</v>
      </c>
      <c r="K14" s="14">
        <v>75402</v>
      </c>
      <c r="L14" s="12"/>
      <c r="M14" s="2"/>
      <c r="N14" s="2"/>
      <c r="O14" s="2"/>
      <c r="P14" s="2"/>
      <c r="Q14" s="2"/>
      <c r="R14" s="2"/>
      <c r="S14" s="2"/>
      <c r="T14" s="2"/>
      <c r="U14" s="2"/>
    </row>
    <row r="15" spans="1:21" ht="14.4" customHeight="1">
      <c r="A15" s="2" t="s">
        <v>27</v>
      </c>
      <c r="B15" s="14">
        <f>EEFF!B70</f>
        <v>1063060</v>
      </c>
      <c r="C15" s="14">
        <f>EEFF!C70</f>
        <v>1065898</v>
      </c>
      <c r="D15" s="15">
        <f t="shared" si="0"/>
        <v>-2.6625436955506343E-3</v>
      </c>
      <c r="E15" s="17" t="s">
        <v>28</v>
      </c>
      <c r="F15" s="17" t="s">
        <v>21</v>
      </c>
      <c r="G15" s="17" t="s">
        <v>22</v>
      </c>
      <c r="H15" s="2"/>
      <c r="I15" s="2"/>
      <c r="J15" s="17" t="s">
        <v>29</v>
      </c>
      <c r="K15" s="14">
        <v>155507</v>
      </c>
      <c r="L15" s="12"/>
      <c r="M15" s="2"/>
      <c r="N15" s="2"/>
      <c r="O15" s="2"/>
      <c r="P15" s="2"/>
      <c r="Q15" s="2"/>
      <c r="R15" s="2"/>
      <c r="S15" s="2"/>
      <c r="T15" s="2"/>
      <c r="U15" s="2"/>
    </row>
    <row r="16" spans="1:21" ht="14.4" customHeight="1">
      <c r="A16" s="2" t="s">
        <v>30</v>
      </c>
      <c r="B16" s="14">
        <f>EEFF!B77</f>
        <v>640643</v>
      </c>
      <c r="C16" s="14">
        <f>EEFF!C77</f>
        <v>-397635</v>
      </c>
      <c r="D16" s="15">
        <f t="shared" si="0"/>
        <v>-2.6111333257887259</v>
      </c>
      <c r="E16" s="17" t="s">
        <v>31</v>
      </c>
      <c r="F16" s="17" t="s">
        <v>21</v>
      </c>
      <c r="G16" s="17" t="s">
        <v>22</v>
      </c>
      <c r="H16" s="2"/>
      <c r="I16" s="2"/>
      <c r="J16" s="17" t="s">
        <v>32</v>
      </c>
      <c r="K16" s="14">
        <v>31893</v>
      </c>
      <c r="L16" s="12"/>
      <c r="M16" s="2"/>
      <c r="N16" s="2"/>
      <c r="O16" s="2"/>
      <c r="P16" s="2"/>
      <c r="Q16" s="2"/>
      <c r="R16" s="2"/>
      <c r="S16" s="2"/>
      <c r="T16" s="2"/>
      <c r="U16" s="2"/>
    </row>
    <row r="17" spans="1:21" ht="14.4" customHeight="1">
      <c r="A17" s="2" t="s">
        <v>33</v>
      </c>
      <c r="B17" s="14">
        <f>B15+422564</f>
        <v>1485624</v>
      </c>
      <c r="C17" s="14">
        <f>C15+342424</f>
        <v>1408322</v>
      </c>
      <c r="D17" s="15">
        <f t="shared" si="0"/>
        <v>5.4889435796643182E-2</v>
      </c>
      <c r="E17" s="17" t="s">
        <v>34</v>
      </c>
      <c r="F17" s="17" t="s">
        <v>35</v>
      </c>
      <c r="G17" s="17" t="s">
        <v>36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4.4" customHeight="1">
      <c r="A18" s="2" t="s">
        <v>37</v>
      </c>
      <c r="B18" s="14">
        <f>EEFF!B94</f>
        <v>1314367</v>
      </c>
      <c r="C18" s="14">
        <f>EEFF!C94</f>
        <v>1274678</v>
      </c>
      <c r="D18" s="15">
        <f t="shared" si="0"/>
        <v>3.1136490941241712E-2</v>
      </c>
      <c r="E18" s="17" t="s">
        <v>38</v>
      </c>
      <c r="F18" s="17" t="s">
        <v>3</v>
      </c>
      <c r="G18" s="17" t="s">
        <v>39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4.4" customHeight="1">
      <c r="A19" s="2" t="s">
        <v>40</v>
      </c>
      <c r="B19" s="14">
        <f>-EEFF!B100</f>
        <v>876676</v>
      </c>
      <c r="C19" s="14">
        <f>-EEFF!C100</f>
        <v>971792</v>
      </c>
      <c r="D19" s="15">
        <f t="shared" si="0"/>
        <v>-9.7876911931771393E-2</v>
      </c>
      <c r="E19" s="17" t="s">
        <v>41</v>
      </c>
      <c r="F19" s="17" t="s">
        <v>42</v>
      </c>
      <c r="G19" s="17" t="s">
        <v>43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4.4" customHeight="1">
      <c r="A20" s="2" t="s">
        <v>44</v>
      </c>
      <c r="B20" s="14">
        <f>B18-B19</f>
        <v>437691</v>
      </c>
      <c r="C20" s="14">
        <f>C18-C19</f>
        <v>302886</v>
      </c>
      <c r="D20" s="15">
        <f t="shared" si="0"/>
        <v>0.44506844159188597</v>
      </c>
      <c r="E20" s="17" t="s">
        <v>45</v>
      </c>
      <c r="F20" s="17" t="s">
        <v>46</v>
      </c>
      <c r="G20" s="17" t="s">
        <v>39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4.4" customHeight="1">
      <c r="A21" s="2" t="s">
        <v>47</v>
      </c>
      <c r="B21" s="14">
        <f>EEFF!B6</f>
        <v>1750321</v>
      </c>
      <c r="C21" s="14">
        <f>EEFF!C6</f>
        <v>1377851</v>
      </c>
      <c r="D21" s="15">
        <f t="shared" si="0"/>
        <v>0.27032676247286536</v>
      </c>
      <c r="E21" s="17" t="s">
        <v>48</v>
      </c>
      <c r="F21" s="17" t="s">
        <v>49</v>
      </c>
      <c r="G21" s="17" t="s">
        <v>50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4.4" customHeight="1">
      <c r="A22" s="2" t="s">
        <v>51</v>
      </c>
      <c r="B22" s="14">
        <f>4691312</f>
        <v>4691312</v>
      </c>
      <c r="C22" s="14">
        <f>4764050</f>
        <v>4764050</v>
      </c>
      <c r="D22" s="15">
        <f t="shared" si="0"/>
        <v>-1.5268101720175009E-2</v>
      </c>
      <c r="E22" s="17" t="s">
        <v>52</v>
      </c>
      <c r="F22" s="17" t="s">
        <v>53</v>
      </c>
      <c r="G22" s="17" t="s">
        <v>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4.4" customHeight="1">
      <c r="A23" s="2" t="s">
        <v>55</v>
      </c>
      <c r="B23" s="14">
        <f>EEFF!B56</f>
        <v>5691262</v>
      </c>
      <c r="C23" s="14">
        <f>EEFF!C56</f>
        <v>5160819</v>
      </c>
      <c r="D23" s="15">
        <f t="shared" si="0"/>
        <v>0.10278271723925991</v>
      </c>
      <c r="E23" s="17" t="s">
        <v>56</v>
      </c>
      <c r="F23" s="17" t="s">
        <v>49</v>
      </c>
      <c r="G23" s="17" t="s">
        <v>57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4.4" customHeight="1">
      <c r="A24" s="2" t="s">
        <v>58</v>
      </c>
      <c r="B24" s="14">
        <f>EEFF!B29</f>
        <v>14504960</v>
      </c>
      <c r="C24" s="14">
        <f>EEFF!C29</f>
        <v>11495569</v>
      </c>
      <c r="D24" s="15">
        <f t="shared" si="0"/>
        <v>0.26178704159837585</v>
      </c>
      <c r="E24" s="17" t="s">
        <v>59</v>
      </c>
      <c r="F24" s="17" t="s">
        <v>49</v>
      </c>
      <c r="G24" s="17" t="s">
        <v>50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4.4" customHeight="1">
      <c r="A25" s="2"/>
      <c r="B25" s="12"/>
      <c r="C25" s="12"/>
      <c r="D25" s="12"/>
      <c r="E25" s="12"/>
      <c r="F25" s="1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4.4" customHeight="1">
      <c r="A26" s="2"/>
      <c r="B26" s="12"/>
      <c r="C26" s="12"/>
      <c r="D26" s="12"/>
      <c r="E26" s="12"/>
      <c r="F26" s="12"/>
      <c r="G26" s="1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8.45" customHeight="1">
      <c r="A27" s="32" t="s">
        <v>60</v>
      </c>
      <c r="B27" s="33"/>
      <c r="C27" s="33"/>
      <c r="D27" s="33"/>
      <c r="E27" s="33"/>
      <c r="F27" s="33"/>
      <c r="G27" s="3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9.95" customHeight="1">
      <c r="A28" s="10" t="s">
        <v>61</v>
      </c>
      <c r="B28" s="13" t="s">
        <v>13</v>
      </c>
      <c r="C28" s="13" t="s">
        <v>14</v>
      </c>
      <c r="D28" s="13" t="s">
        <v>16</v>
      </c>
      <c r="E28" s="13" t="s">
        <v>62</v>
      </c>
      <c r="F28" s="13" t="s">
        <v>17</v>
      </c>
      <c r="G28" s="13" t="s">
        <v>18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4.4" customHeight="1">
      <c r="A29" s="2" t="s">
        <v>63</v>
      </c>
      <c r="B29" s="15">
        <f>B14/B13</f>
        <v>0.29557119581558944</v>
      </c>
      <c r="C29" s="15">
        <f>C14/C13</f>
        <v>0.29303975193215098</v>
      </c>
      <c r="D29" s="12" t="s">
        <v>64</v>
      </c>
      <c r="E29" s="17" t="s">
        <v>65</v>
      </c>
      <c r="F29" s="17" t="s">
        <v>66</v>
      </c>
      <c r="G29" s="17" t="s">
        <v>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4.4" customHeight="1">
      <c r="A30" s="2" t="s">
        <v>67</v>
      </c>
      <c r="B30" s="15">
        <f>B15/B13</f>
        <v>0.23230069157453831</v>
      </c>
      <c r="C30" s="15">
        <f>C15/C13</f>
        <v>0.23536194557407644</v>
      </c>
      <c r="D30" s="12" t="s">
        <v>68</v>
      </c>
      <c r="E30" s="17" t="s">
        <v>69</v>
      </c>
      <c r="F30" s="17" t="s">
        <v>70</v>
      </c>
      <c r="G30" s="17" t="s">
        <v>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4.4" customHeight="1">
      <c r="A31" s="2" t="s">
        <v>71</v>
      </c>
      <c r="B31" s="15">
        <f>B16/B13</f>
        <v>0.1399938027509143</v>
      </c>
      <c r="C31" s="15">
        <f>C16/C13</f>
        <v>-8.7802160458456513E-2</v>
      </c>
      <c r="D31" s="12" t="s">
        <v>72</v>
      </c>
      <c r="E31" s="17" t="s">
        <v>73</v>
      </c>
      <c r="F31" s="17" t="s">
        <v>74</v>
      </c>
      <c r="G31" s="17" t="s">
        <v>22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4.4" customHeight="1">
      <c r="A32" s="2" t="s">
        <v>75</v>
      </c>
      <c r="B32" s="15">
        <f>B18/B13</f>
        <v>0.28721649115078285</v>
      </c>
      <c r="C32" s="15">
        <f>C18/C13</f>
        <v>0.28146285485147043</v>
      </c>
      <c r="D32" s="12" t="s">
        <v>76</v>
      </c>
      <c r="E32" s="17" t="s">
        <v>69</v>
      </c>
      <c r="F32" s="17" t="s">
        <v>77</v>
      </c>
      <c r="G32" s="17" t="s">
        <v>39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4.4" customHeight="1">
      <c r="A33" s="2" t="s">
        <v>78</v>
      </c>
      <c r="B33" s="15">
        <f>EEFF!B15/EEFF!B41</f>
        <v>3.2679649215642379</v>
      </c>
      <c r="C33" s="15">
        <f>EEFF!C15/EEFF!C41</f>
        <v>2.514151691713058</v>
      </c>
      <c r="D33" s="12" t="s">
        <v>79</v>
      </c>
      <c r="E33" s="17" t="s">
        <v>80</v>
      </c>
      <c r="F33" s="17" t="s">
        <v>81</v>
      </c>
      <c r="G33" s="17" t="s">
        <v>82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4.4" customHeight="1">
      <c r="A34" s="2" t="s">
        <v>83</v>
      </c>
      <c r="B34" s="15">
        <f>B22/B23</f>
        <v>0.82430083169602808</v>
      </c>
      <c r="C34" s="15">
        <f>C22/C23</f>
        <v>0.92311898557186367</v>
      </c>
      <c r="D34" s="12" t="s">
        <v>84</v>
      </c>
      <c r="E34" s="17" t="s">
        <v>85</v>
      </c>
      <c r="F34" s="17" t="s">
        <v>86</v>
      </c>
      <c r="G34" s="17" t="s">
        <v>87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4.4" customHeight="1">
      <c r="A35" s="2" t="s">
        <v>88</v>
      </c>
      <c r="B35" s="15">
        <f>B22/B24</f>
        <v>0.32342812389692904</v>
      </c>
      <c r="C35" s="15">
        <f>C22/C24</f>
        <v>0.41442489710600666</v>
      </c>
      <c r="D35" s="12" t="s">
        <v>89</v>
      </c>
      <c r="E35" s="17" t="s">
        <v>85</v>
      </c>
      <c r="F35" s="17" t="s">
        <v>90</v>
      </c>
      <c r="G35" s="17" t="s">
        <v>91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4.4" customHeight="1">
      <c r="A36" s="2" t="s">
        <v>92</v>
      </c>
      <c r="B36" s="15">
        <f>B16/B24</f>
        <v>4.4167167644722907E-2</v>
      </c>
      <c r="C36" s="15">
        <f>C16/C24</f>
        <v>-3.4590284308675806E-2</v>
      </c>
      <c r="D36" s="12" t="s">
        <v>93</v>
      </c>
      <c r="E36" s="17" t="s">
        <v>94</v>
      </c>
      <c r="F36" s="17" t="s">
        <v>95</v>
      </c>
      <c r="G36" s="17" t="s">
        <v>96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4.4" customHeight="1">
      <c r="A37" s="2" t="s">
        <v>97</v>
      </c>
      <c r="B37" s="15">
        <f>EEFF!B78/B23</f>
        <v>0.10334052447418517</v>
      </c>
      <c r="C37" s="15">
        <f>EEFF!C78/C23</f>
        <v>-7.8351711230329912E-2</v>
      </c>
      <c r="D37" s="12" t="s">
        <v>98</v>
      </c>
      <c r="E37" s="17" t="s">
        <v>94</v>
      </c>
      <c r="F37" s="17" t="s">
        <v>99</v>
      </c>
      <c r="G37" s="17" t="s">
        <v>100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4.4" customHeight="1">
      <c r="A38" s="2" t="s">
        <v>101</v>
      </c>
      <c r="B38" s="15">
        <f>B19/B18</f>
        <v>0.66699483477597965</v>
      </c>
      <c r="C38" s="15">
        <f>C19/C18</f>
        <v>0.76238234283481787</v>
      </c>
      <c r="D38" s="12" t="s">
        <v>102</v>
      </c>
      <c r="E38" s="17" t="s">
        <v>85</v>
      </c>
      <c r="F38" s="17" t="s">
        <v>101</v>
      </c>
      <c r="G38" s="17" t="s">
        <v>39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4.4" customHeight="1">
      <c r="A39" s="2" t="s">
        <v>103</v>
      </c>
      <c r="B39" s="11">
        <f>-EEFF!B76/EEFF!B75</f>
        <v>0.33316783349258788</v>
      </c>
      <c r="C39" s="11">
        <f>-EEFF!C76/EEFF!C75</f>
        <v>1.4080760333903248</v>
      </c>
      <c r="D39" s="12" t="s">
        <v>104</v>
      </c>
      <c r="E39" s="17" t="s">
        <v>105</v>
      </c>
      <c r="F39" s="17" t="s">
        <v>106</v>
      </c>
      <c r="G39" s="17" t="s">
        <v>107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4.4" customHeight="1">
      <c r="A40" s="2" t="s">
        <v>108</v>
      </c>
      <c r="B40" s="11">
        <f>B23/($B$6*1000)</f>
        <v>19.924597395322785</v>
      </c>
      <c r="C40" s="11">
        <f>C23/($B$6*1000)</f>
        <v>18.067564066657329</v>
      </c>
      <c r="D40" s="12" t="s">
        <v>109</v>
      </c>
      <c r="E40" s="17" t="s">
        <v>110</v>
      </c>
      <c r="F40" s="17" t="s">
        <v>111</v>
      </c>
      <c r="G40" s="17" t="s">
        <v>112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4.4" customHeight="1">
      <c r="A41" s="2" t="s">
        <v>113</v>
      </c>
      <c r="B41" s="11">
        <f>$B$5/B40</f>
        <v>4.4071153990099212</v>
      </c>
      <c r="C41" s="11">
        <f>$B$5/C40</f>
        <v>4.8600906949071465</v>
      </c>
      <c r="D41" s="12" t="s">
        <v>114</v>
      </c>
      <c r="E41" s="17" t="s">
        <v>115</v>
      </c>
      <c r="F41" s="17" t="s">
        <v>116</v>
      </c>
      <c r="G41" s="17" t="s">
        <v>112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4.4" customHeight="1">
      <c r="A42" s="2" t="s">
        <v>117</v>
      </c>
      <c r="B42" s="16">
        <f>$B$5*$B$6</f>
        <v>25082.0484</v>
      </c>
      <c r="C42" s="16">
        <f>$B$5*$B$6</f>
        <v>25082.0484</v>
      </c>
      <c r="D42" s="12" t="s">
        <v>118</v>
      </c>
      <c r="E42" s="17" t="s">
        <v>119</v>
      </c>
      <c r="F42" s="17" t="s">
        <v>120</v>
      </c>
      <c r="G42" s="17" t="s">
        <v>121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4.4" customHeight="1">
      <c r="A43" s="2" t="s">
        <v>122</v>
      </c>
      <c r="B43" s="16">
        <f>B42+B22/1000-B21/1000</f>
        <v>28023.039399999998</v>
      </c>
      <c r="C43" s="16">
        <f>C42+C22/1000-C21/1000</f>
        <v>28468.2474</v>
      </c>
      <c r="D43" s="12" t="s">
        <v>123</v>
      </c>
      <c r="E43" s="17" t="s">
        <v>124</v>
      </c>
      <c r="F43" s="17" t="s">
        <v>125</v>
      </c>
      <c r="G43" s="17" t="s">
        <v>126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4.4" customHeight="1">
      <c r="A44" s="2" t="s">
        <v>127</v>
      </c>
      <c r="B44" s="11">
        <f>B43/(B17/1000)</f>
        <v>18.862807412912012</v>
      </c>
      <c r="C44" s="11">
        <f>C43/(C17/1000)</f>
        <v>20.214302836993244</v>
      </c>
      <c r="D44" s="12" t="s">
        <v>128</v>
      </c>
      <c r="E44" s="17" t="s">
        <v>129</v>
      </c>
      <c r="F44" s="17" t="s">
        <v>127</v>
      </c>
      <c r="G44" s="17" t="s">
        <v>126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</sheetData>
  <mergeCells count="7">
    <mergeCell ref="A27:G27"/>
    <mergeCell ref="A2:U2"/>
    <mergeCell ref="A4:D4"/>
    <mergeCell ref="B9:D9"/>
    <mergeCell ref="A11:G11"/>
    <mergeCell ref="J4:L4"/>
    <mergeCell ref="J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7"/>
  <sheetViews>
    <sheetView tabSelected="1" topLeftCell="A89" zoomScale="80" zoomScaleNormal="80" workbookViewId="0">
      <selection activeCell="G21" sqref="G20:G21"/>
    </sheetView>
  </sheetViews>
  <sheetFormatPr baseColWidth="10" defaultColWidth="8.796875" defaultRowHeight="13.8"/>
  <cols>
    <col min="1" max="1" width="55" customWidth="1"/>
    <col min="2" max="4" width="16" customWidth="1"/>
  </cols>
  <sheetData>
    <row r="1" spans="1:4" ht="24" customHeight="1">
      <c r="A1" s="41" t="s">
        <v>130</v>
      </c>
      <c r="B1" s="42"/>
      <c r="C1" s="42"/>
      <c r="D1" s="42"/>
    </row>
    <row r="2" spans="1:4" ht="14.4" customHeight="1">
      <c r="A2" s="2"/>
      <c r="B2" s="2"/>
      <c r="C2" s="2"/>
      <c r="D2" s="2"/>
    </row>
    <row r="3" spans="1:4" ht="18.45" customHeight="1">
      <c r="A3" s="9" t="s">
        <v>131</v>
      </c>
      <c r="B3" s="9" t="s">
        <v>13</v>
      </c>
      <c r="C3" s="9" t="s">
        <v>14</v>
      </c>
      <c r="D3" s="9" t="s">
        <v>132</v>
      </c>
    </row>
    <row r="4" spans="1:4" ht="17.55" customHeight="1">
      <c r="A4" s="39" t="s">
        <v>133</v>
      </c>
      <c r="B4" s="40"/>
      <c r="C4" s="40"/>
      <c r="D4" s="40"/>
    </row>
    <row r="5" spans="1:4" ht="17.55" customHeight="1">
      <c r="A5" s="18" t="s">
        <v>134</v>
      </c>
      <c r="B5" s="21"/>
      <c r="C5" s="21"/>
      <c r="D5" s="21"/>
    </row>
    <row r="6" spans="1:4" ht="14.4" customHeight="1">
      <c r="A6" s="2" t="s">
        <v>135</v>
      </c>
      <c r="B6" s="22">
        <v>1750321</v>
      </c>
      <c r="C6" s="22">
        <v>1377851</v>
      </c>
      <c r="D6" s="22">
        <v>372470</v>
      </c>
    </row>
    <row r="7" spans="1:4" ht="14.4" customHeight="1">
      <c r="A7" s="2" t="s">
        <v>136</v>
      </c>
      <c r="B7" s="22">
        <v>976641</v>
      </c>
      <c r="C7" s="22">
        <v>1079595</v>
      </c>
      <c r="D7" s="22">
        <v>-102954</v>
      </c>
    </row>
    <row r="8" spans="1:4" ht="14.4" customHeight="1">
      <c r="A8" s="2" t="s">
        <v>137</v>
      </c>
      <c r="B8" s="22">
        <v>122288</v>
      </c>
      <c r="C8" s="22">
        <v>200705</v>
      </c>
      <c r="D8" s="22">
        <v>-78417</v>
      </c>
    </row>
    <row r="9" spans="1:4" ht="14.4" customHeight="1">
      <c r="A9" s="2" t="s">
        <v>138</v>
      </c>
      <c r="B9" s="22">
        <v>649055</v>
      </c>
      <c r="C9" s="22">
        <v>606137</v>
      </c>
      <c r="D9" s="22">
        <v>42918</v>
      </c>
    </row>
    <row r="10" spans="1:4" ht="14.4" customHeight="1">
      <c r="A10" s="2" t="s">
        <v>139</v>
      </c>
      <c r="B10" s="22">
        <v>36799</v>
      </c>
      <c r="C10" s="22">
        <v>28706</v>
      </c>
      <c r="D10" s="22">
        <v>8093</v>
      </c>
    </row>
    <row r="11" spans="1:4" ht="14.4" customHeight="1">
      <c r="A11" s="2" t="s">
        <v>140</v>
      </c>
      <c r="B11" s="22">
        <v>1803478</v>
      </c>
      <c r="C11" s="22">
        <v>1702185</v>
      </c>
      <c r="D11" s="22">
        <v>101293</v>
      </c>
    </row>
    <row r="12" spans="1:4" ht="14.4" customHeight="1">
      <c r="A12" s="2" t="s">
        <v>141</v>
      </c>
      <c r="B12" s="22">
        <v>441794</v>
      </c>
      <c r="C12" s="22">
        <v>583143</v>
      </c>
      <c r="D12" s="22">
        <v>-141349</v>
      </c>
    </row>
    <row r="13" spans="1:4" ht="14.4" customHeight="1">
      <c r="A13" s="19" t="s">
        <v>142</v>
      </c>
      <c r="B13" s="23">
        <v>5780376</v>
      </c>
      <c r="C13" s="23">
        <v>5578322</v>
      </c>
      <c r="D13" s="23">
        <v>202054</v>
      </c>
    </row>
    <row r="14" spans="1:4" ht="14.4" customHeight="1">
      <c r="A14" s="2" t="s">
        <v>143</v>
      </c>
      <c r="B14" s="22">
        <v>118</v>
      </c>
      <c r="C14" s="22">
        <v>118</v>
      </c>
      <c r="D14" s="22">
        <v>0</v>
      </c>
    </row>
    <row r="15" spans="1:4" ht="14.4" customHeight="1">
      <c r="A15" s="19" t="s">
        <v>144</v>
      </c>
      <c r="B15" s="23">
        <v>5780494</v>
      </c>
      <c r="C15" s="23">
        <v>5578440</v>
      </c>
      <c r="D15" s="23">
        <v>202054</v>
      </c>
    </row>
    <row r="16" spans="1:4" ht="14.4" customHeight="1">
      <c r="A16" s="2"/>
      <c r="B16" s="22"/>
      <c r="C16" s="22"/>
      <c r="D16" s="22"/>
    </row>
    <row r="17" spans="1:4" ht="17.55" customHeight="1">
      <c r="A17" s="18" t="s">
        <v>145</v>
      </c>
      <c r="B17" s="21"/>
      <c r="C17" s="21"/>
      <c r="D17" s="21"/>
    </row>
    <row r="18" spans="1:4" ht="14.4" customHeight="1">
      <c r="A18" s="2" t="s">
        <v>146</v>
      </c>
      <c r="B18" s="22">
        <v>76244</v>
      </c>
      <c r="C18" s="22">
        <v>60706</v>
      </c>
      <c r="D18" s="22">
        <v>15538</v>
      </c>
    </row>
    <row r="19" spans="1:4" ht="14.4" customHeight="1">
      <c r="A19" s="2" t="s">
        <v>147</v>
      </c>
      <c r="B19" s="22">
        <v>314348</v>
      </c>
      <c r="C19" s="22">
        <v>364166</v>
      </c>
      <c r="D19" s="22">
        <v>-49818</v>
      </c>
    </row>
    <row r="20" spans="1:4" ht="14.4" customHeight="1">
      <c r="A20" s="2" t="s">
        <v>148</v>
      </c>
      <c r="B20" s="22">
        <v>3295</v>
      </c>
      <c r="C20" s="22">
        <v>2727</v>
      </c>
      <c r="D20" s="22">
        <v>568</v>
      </c>
    </row>
    <row r="21" spans="1:4" ht="14.4" customHeight="1">
      <c r="A21" s="2" t="s">
        <v>149</v>
      </c>
      <c r="B21" s="22">
        <v>631199</v>
      </c>
      <c r="C21" s="22">
        <v>585794</v>
      </c>
      <c r="D21" s="22">
        <v>45405</v>
      </c>
    </row>
    <row r="22" spans="1:4" ht="14.4" customHeight="1">
      <c r="A22" s="2" t="s">
        <v>150</v>
      </c>
      <c r="B22" s="22">
        <v>2553052</v>
      </c>
      <c r="C22" s="22">
        <v>167968</v>
      </c>
      <c r="D22" s="22">
        <v>2385084</v>
      </c>
    </row>
    <row r="23" spans="1:4" ht="14.4" customHeight="1">
      <c r="A23" s="2" t="s">
        <v>151</v>
      </c>
      <c r="B23" s="22">
        <v>958</v>
      </c>
      <c r="C23" s="22">
        <v>948</v>
      </c>
      <c r="D23" s="22">
        <v>10</v>
      </c>
    </row>
    <row r="24" spans="1:4" ht="14.4" customHeight="1">
      <c r="A24" s="2" t="s">
        <v>152</v>
      </c>
      <c r="B24" s="22">
        <v>4839490</v>
      </c>
      <c r="C24" s="22">
        <v>4433645</v>
      </c>
      <c r="D24" s="22">
        <v>405845</v>
      </c>
    </row>
    <row r="25" spans="1:4" ht="14.4" customHeight="1">
      <c r="A25" s="2" t="s">
        <v>153</v>
      </c>
      <c r="B25" s="22">
        <v>70336</v>
      </c>
      <c r="C25" s="22">
        <v>84070</v>
      </c>
      <c r="D25" s="22">
        <v>-13734</v>
      </c>
    </row>
    <row r="26" spans="1:4" ht="14.4" customHeight="1">
      <c r="A26" s="2" t="s">
        <v>154</v>
      </c>
      <c r="B26" s="22">
        <v>59541</v>
      </c>
      <c r="C26" s="22">
        <v>59541</v>
      </c>
      <c r="D26" s="22">
        <v>0</v>
      </c>
    </row>
    <row r="27" spans="1:4" ht="14.4" customHeight="1">
      <c r="A27" s="2" t="s">
        <v>155</v>
      </c>
      <c r="B27" s="22">
        <v>176003</v>
      </c>
      <c r="C27" s="22">
        <v>157564</v>
      </c>
      <c r="D27" s="22">
        <v>18439</v>
      </c>
    </row>
    <row r="28" spans="1:4" ht="14.4" customHeight="1">
      <c r="A28" s="19" t="s">
        <v>156</v>
      </c>
      <c r="B28" s="23">
        <v>8724466</v>
      </c>
      <c r="C28" s="23">
        <v>5917129</v>
      </c>
      <c r="D28" s="23">
        <v>2807337</v>
      </c>
    </row>
    <row r="29" spans="1:4" ht="14.4" customHeight="1">
      <c r="A29" s="19" t="s">
        <v>157</v>
      </c>
      <c r="B29" s="23">
        <v>14504960</v>
      </c>
      <c r="C29" s="23">
        <v>11495569</v>
      </c>
      <c r="D29" s="23">
        <v>3009391</v>
      </c>
    </row>
    <row r="30" spans="1:4" ht="14.4" customHeight="1">
      <c r="A30" s="2"/>
      <c r="B30" s="22"/>
      <c r="C30" s="22"/>
      <c r="D30" s="22"/>
    </row>
    <row r="31" spans="1:4" ht="17.55" customHeight="1">
      <c r="A31" s="39" t="s">
        <v>158</v>
      </c>
      <c r="B31" s="40"/>
      <c r="C31" s="40"/>
      <c r="D31" s="40"/>
    </row>
    <row r="32" spans="1:4" ht="17.55" customHeight="1">
      <c r="A32" s="18" t="s">
        <v>159</v>
      </c>
      <c r="B32" s="21"/>
      <c r="C32" s="21"/>
      <c r="D32" s="21"/>
    </row>
    <row r="33" spans="1:4" ht="14.4" customHeight="1">
      <c r="A33" s="2" t="s">
        <v>160</v>
      </c>
      <c r="B33" s="22">
        <v>470755</v>
      </c>
      <c r="C33" s="22">
        <v>1163468</v>
      </c>
      <c r="D33" s="22">
        <v>-692713</v>
      </c>
    </row>
    <row r="34" spans="1:4" ht="14.4" customHeight="1">
      <c r="A34" s="2" t="s">
        <v>161</v>
      </c>
      <c r="B34" s="22">
        <v>22196</v>
      </c>
      <c r="C34" s="22">
        <v>23011</v>
      </c>
      <c r="D34" s="22">
        <v>-815</v>
      </c>
    </row>
    <row r="35" spans="1:4" ht="14.4" customHeight="1">
      <c r="A35" s="2" t="s">
        <v>162</v>
      </c>
      <c r="B35" s="22">
        <v>384220</v>
      </c>
      <c r="C35" s="22">
        <v>471449</v>
      </c>
      <c r="D35" s="22">
        <v>-87229</v>
      </c>
    </row>
    <row r="36" spans="1:4" ht="14.4" customHeight="1">
      <c r="A36" s="2" t="s">
        <v>163</v>
      </c>
      <c r="B36" s="22">
        <v>53406</v>
      </c>
      <c r="C36" s="22">
        <v>10265</v>
      </c>
      <c r="D36" s="22">
        <v>43141</v>
      </c>
    </row>
    <row r="37" spans="1:4" ht="14.4" customHeight="1">
      <c r="A37" s="2" t="s">
        <v>164</v>
      </c>
      <c r="B37" s="22">
        <v>320005</v>
      </c>
      <c r="C37" s="22">
        <v>311197</v>
      </c>
      <c r="D37" s="22">
        <v>8808</v>
      </c>
    </row>
    <row r="38" spans="1:4" ht="14.4" customHeight="1">
      <c r="A38" s="2" t="s">
        <v>165</v>
      </c>
      <c r="B38" s="22">
        <v>113094</v>
      </c>
      <c r="C38" s="22">
        <v>79841</v>
      </c>
      <c r="D38" s="22">
        <v>33253</v>
      </c>
    </row>
    <row r="39" spans="1:4" ht="14.4" customHeight="1">
      <c r="A39" s="2" t="s">
        <v>166</v>
      </c>
      <c r="B39" s="22">
        <v>68093</v>
      </c>
      <c r="C39" s="22">
        <v>31546</v>
      </c>
      <c r="D39" s="22">
        <v>36547</v>
      </c>
    </row>
    <row r="40" spans="1:4" ht="14.4" customHeight="1">
      <c r="A40" s="2" t="s">
        <v>167</v>
      </c>
      <c r="B40" s="22">
        <v>337067</v>
      </c>
      <c r="C40" s="22">
        <v>128039</v>
      </c>
      <c r="D40" s="22">
        <v>209028</v>
      </c>
    </row>
    <row r="41" spans="1:4" ht="14.4" customHeight="1">
      <c r="A41" s="19" t="s">
        <v>168</v>
      </c>
      <c r="B41" s="23">
        <v>1768836</v>
      </c>
      <c r="C41" s="23">
        <v>2218816</v>
      </c>
      <c r="D41" s="23">
        <v>-449980</v>
      </c>
    </row>
    <row r="42" spans="1:4" ht="14.4" customHeight="1">
      <c r="A42" s="2"/>
      <c r="B42" s="22"/>
      <c r="C42" s="22"/>
      <c r="D42" s="22"/>
    </row>
    <row r="43" spans="1:4" ht="17.55" customHeight="1">
      <c r="A43" s="18" t="s">
        <v>169</v>
      </c>
      <c r="B43" s="21"/>
      <c r="C43" s="21"/>
      <c r="D43" s="21"/>
    </row>
    <row r="44" spans="1:4" ht="14.4" customHeight="1">
      <c r="A44" s="2" t="s">
        <v>170</v>
      </c>
      <c r="B44" s="22">
        <v>4220557</v>
      </c>
      <c r="C44" s="22">
        <v>3600582</v>
      </c>
      <c r="D44" s="22">
        <v>619975</v>
      </c>
    </row>
    <row r="45" spans="1:4" ht="14.4" customHeight="1">
      <c r="A45" s="2" t="s">
        <v>171</v>
      </c>
      <c r="B45" s="22">
        <v>50782</v>
      </c>
      <c r="C45" s="22">
        <v>60801</v>
      </c>
      <c r="D45" s="22">
        <v>-10019</v>
      </c>
    </row>
    <row r="46" spans="1:4" ht="14.4" customHeight="1">
      <c r="A46" s="2" t="s">
        <v>172</v>
      </c>
      <c r="B46" s="22">
        <v>54444</v>
      </c>
      <c r="C46" s="22">
        <v>53317</v>
      </c>
      <c r="D46" s="22">
        <v>1127</v>
      </c>
    </row>
    <row r="47" spans="1:4" ht="14.4" customHeight="1">
      <c r="A47" s="2" t="s">
        <v>173</v>
      </c>
      <c r="B47" s="22">
        <v>311213</v>
      </c>
      <c r="C47" s="22">
        <v>298379</v>
      </c>
      <c r="D47" s="22">
        <v>12834</v>
      </c>
    </row>
    <row r="48" spans="1:4" ht="14.4" customHeight="1">
      <c r="A48" s="2" t="s">
        <v>174</v>
      </c>
      <c r="B48" s="22">
        <v>45249</v>
      </c>
      <c r="C48" s="22">
        <v>65607</v>
      </c>
      <c r="D48" s="22">
        <v>-20358</v>
      </c>
    </row>
    <row r="49" spans="1:4" ht="14.4" customHeight="1">
      <c r="A49" s="19" t="s">
        <v>175</v>
      </c>
      <c r="B49" s="23">
        <v>4682245</v>
      </c>
      <c r="C49" s="23">
        <v>4078686</v>
      </c>
      <c r="D49" s="23">
        <v>603559</v>
      </c>
    </row>
    <row r="50" spans="1:4" ht="14.4" customHeight="1">
      <c r="A50" s="19" t="s">
        <v>176</v>
      </c>
      <c r="B50" s="23">
        <v>6451081</v>
      </c>
      <c r="C50" s="23">
        <v>6297502</v>
      </c>
      <c r="D50" s="23">
        <v>153579</v>
      </c>
    </row>
    <row r="51" spans="1:4" ht="14.4" customHeight="1">
      <c r="A51" s="2"/>
      <c r="B51" s="22"/>
      <c r="C51" s="22"/>
      <c r="D51" s="22"/>
    </row>
    <row r="52" spans="1:4" ht="17.55" customHeight="1">
      <c r="A52" s="18" t="s">
        <v>177</v>
      </c>
      <c r="B52" s="21"/>
      <c r="C52" s="21"/>
      <c r="D52" s="21"/>
    </row>
    <row r="53" spans="1:4" ht="14.4" customHeight="1">
      <c r="A53" s="2" t="s">
        <v>178</v>
      </c>
      <c r="B53" s="22">
        <v>1577623</v>
      </c>
      <c r="C53" s="22">
        <v>1577623</v>
      </c>
      <c r="D53" s="22">
        <v>0</v>
      </c>
    </row>
    <row r="54" spans="1:4" ht="14.4" customHeight="1">
      <c r="A54" s="2" t="s">
        <v>179</v>
      </c>
      <c r="B54" s="22">
        <v>4032308</v>
      </c>
      <c r="C54" s="22">
        <v>3620612</v>
      </c>
      <c r="D54" s="22">
        <v>411696</v>
      </c>
    </row>
    <row r="55" spans="1:4" ht="14.4" customHeight="1">
      <c r="A55" s="2" t="s">
        <v>180</v>
      </c>
      <c r="B55" s="22">
        <v>81331</v>
      </c>
      <c r="C55" s="22">
        <v>-37416</v>
      </c>
      <c r="D55" s="22">
        <v>118747</v>
      </c>
    </row>
    <row r="56" spans="1:4" ht="14.4" customHeight="1">
      <c r="A56" s="2" t="s">
        <v>181</v>
      </c>
      <c r="B56" s="22">
        <v>5691262</v>
      </c>
      <c r="C56" s="22">
        <v>5160819</v>
      </c>
      <c r="D56" s="22">
        <v>530443</v>
      </c>
    </row>
    <row r="57" spans="1:4" ht="14.4" customHeight="1">
      <c r="A57" s="2" t="s">
        <v>182</v>
      </c>
      <c r="B57" s="22">
        <v>2362617</v>
      </c>
      <c r="C57" s="22">
        <v>37248</v>
      </c>
      <c r="D57" s="22">
        <v>2325369</v>
      </c>
    </row>
    <row r="58" spans="1:4" ht="14.4" customHeight="1">
      <c r="A58" s="19" t="s">
        <v>183</v>
      </c>
      <c r="B58" s="23">
        <v>8053879</v>
      </c>
      <c r="C58" s="23">
        <v>5198067</v>
      </c>
      <c r="D58" s="23">
        <v>2855812</v>
      </c>
    </row>
    <row r="59" spans="1:4" ht="14.4" customHeight="1">
      <c r="A59" s="19" t="s">
        <v>184</v>
      </c>
      <c r="B59" s="23">
        <v>14504960</v>
      </c>
      <c r="C59" s="23">
        <v>11495569</v>
      </c>
      <c r="D59" s="23">
        <v>3009391</v>
      </c>
    </row>
    <row r="60" spans="1:4" ht="14.4" customHeight="1">
      <c r="A60" s="2"/>
      <c r="B60" s="22"/>
      <c r="C60" s="22"/>
      <c r="D60" s="22"/>
    </row>
    <row r="61" spans="1:4" ht="17.55" customHeight="1">
      <c r="A61" s="39" t="s">
        <v>21</v>
      </c>
      <c r="B61" s="40"/>
      <c r="C61" s="40"/>
      <c r="D61" s="40"/>
    </row>
    <row r="62" spans="1:4" ht="14.4" customHeight="1">
      <c r="A62" s="2" t="s">
        <v>185</v>
      </c>
      <c r="B62" s="22">
        <v>4576224</v>
      </c>
      <c r="C62" s="22">
        <v>4528761</v>
      </c>
      <c r="D62" s="22">
        <v>47463</v>
      </c>
    </row>
    <row r="63" spans="1:4" ht="14.4" customHeight="1">
      <c r="A63" s="2" t="s">
        <v>186</v>
      </c>
      <c r="B63" s="22">
        <v>-3223624</v>
      </c>
      <c r="C63" s="22">
        <v>-3201654</v>
      </c>
      <c r="D63" s="22">
        <v>-21970</v>
      </c>
    </row>
    <row r="64" spans="1:4" ht="14.4" customHeight="1">
      <c r="A64" s="1" t="s">
        <v>24</v>
      </c>
      <c r="B64" s="24">
        <v>1352600</v>
      </c>
      <c r="C64" s="24">
        <v>1327107</v>
      </c>
      <c r="D64" s="24">
        <v>25493</v>
      </c>
    </row>
    <row r="65" spans="1:4" ht="14.4" customHeight="1">
      <c r="A65" s="2" t="s">
        <v>187</v>
      </c>
      <c r="B65" s="22">
        <v>12506</v>
      </c>
      <c r="C65" s="22">
        <v>32229</v>
      </c>
      <c r="D65" s="22">
        <v>-19723</v>
      </c>
    </row>
    <row r="66" spans="1:4" ht="14.4" customHeight="1">
      <c r="A66" s="2" t="s">
        <v>188</v>
      </c>
      <c r="B66" s="22">
        <v>-195577</v>
      </c>
      <c r="C66" s="22">
        <v>-185959</v>
      </c>
      <c r="D66" s="22">
        <v>-9618</v>
      </c>
    </row>
    <row r="67" spans="1:4" ht="14.4" customHeight="1">
      <c r="A67" s="2" t="s">
        <v>189</v>
      </c>
      <c r="B67" s="22">
        <v>-96302</v>
      </c>
      <c r="C67" s="22">
        <v>-104698</v>
      </c>
      <c r="D67" s="22">
        <v>8396</v>
      </c>
    </row>
    <row r="68" spans="1:4" ht="14.4" customHeight="1">
      <c r="A68" s="2" t="s">
        <v>190</v>
      </c>
      <c r="B68" s="22">
        <v>976</v>
      </c>
      <c r="C68" s="22">
        <v>-639</v>
      </c>
      <c r="D68" s="22">
        <v>1615</v>
      </c>
    </row>
    <row r="69" spans="1:4" ht="14.4" customHeight="1">
      <c r="A69" s="2" t="s">
        <v>191</v>
      </c>
      <c r="B69" s="22">
        <v>-11143</v>
      </c>
      <c r="C69" s="22">
        <v>-2142</v>
      </c>
      <c r="D69" s="22">
        <v>-9001</v>
      </c>
    </row>
    <row r="70" spans="1:4" ht="14.4" customHeight="1">
      <c r="A70" s="1" t="s">
        <v>192</v>
      </c>
      <c r="B70" s="24">
        <v>1063060</v>
      </c>
      <c r="C70" s="24">
        <v>1065898</v>
      </c>
      <c r="D70" s="24">
        <v>-2838</v>
      </c>
    </row>
    <row r="71" spans="1:4" ht="14.4" customHeight="1">
      <c r="A71" s="2" t="s">
        <v>193</v>
      </c>
      <c r="B71" s="22">
        <v>85707</v>
      </c>
      <c r="C71" s="22">
        <v>103642</v>
      </c>
      <c r="D71" s="22">
        <v>-17935</v>
      </c>
    </row>
    <row r="72" spans="1:4" ht="14.4" customHeight="1">
      <c r="A72" s="2" t="s">
        <v>194</v>
      </c>
      <c r="B72" s="22">
        <v>-192672</v>
      </c>
      <c r="C72" s="22">
        <v>-197544</v>
      </c>
      <c r="D72" s="22">
        <v>4872</v>
      </c>
    </row>
    <row r="73" spans="1:4" ht="14.4" customHeight="1">
      <c r="A73" s="2" t="s">
        <v>195</v>
      </c>
      <c r="B73" s="22">
        <v>6738</v>
      </c>
      <c r="C73" s="22">
        <v>11025</v>
      </c>
      <c r="D73" s="22">
        <v>-4287</v>
      </c>
    </row>
    <row r="74" spans="1:4" ht="14.4" customHeight="1">
      <c r="A74" s="2" t="s">
        <v>196</v>
      </c>
      <c r="B74" s="22">
        <v>-2107</v>
      </c>
      <c r="C74" s="22">
        <v>-8607</v>
      </c>
      <c r="D74" s="22">
        <v>6500</v>
      </c>
    </row>
    <row r="75" spans="1:4" ht="14.4" customHeight="1">
      <c r="A75" s="1" t="s">
        <v>197</v>
      </c>
      <c r="B75" s="24">
        <v>960726</v>
      </c>
      <c r="C75" s="24">
        <v>974414</v>
      </c>
      <c r="D75" s="24">
        <v>-13688</v>
      </c>
    </row>
    <row r="76" spans="1:4" ht="14.4" customHeight="1">
      <c r="A76" s="2" t="s">
        <v>198</v>
      </c>
      <c r="B76" s="22">
        <v>-320083</v>
      </c>
      <c r="C76" s="22">
        <v>-1372049</v>
      </c>
      <c r="D76" s="22">
        <v>1051966</v>
      </c>
    </row>
    <row r="77" spans="1:4" ht="14.4" customHeight="1">
      <c r="A77" s="1" t="s">
        <v>199</v>
      </c>
      <c r="B77" s="24">
        <v>640643</v>
      </c>
      <c r="C77" s="24">
        <v>-397635</v>
      </c>
      <c r="D77" s="24">
        <v>1038278</v>
      </c>
    </row>
    <row r="78" spans="1:4" ht="14.4" customHeight="1">
      <c r="A78" s="2" t="s">
        <v>200</v>
      </c>
      <c r="B78" s="22">
        <v>588138</v>
      </c>
      <c r="C78" s="22">
        <v>-404359</v>
      </c>
      <c r="D78" s="22">
        <v>992497</v>
      </c>
    </row>
    <row r="79" spans="1:4" ht="14.4" customHeight="1">
      <c r="A79" s="2" t="s">
        <v>201</v>
      </c>
      <c r="B79" s="22">
        <v>52505</v>
      </c>
      <c r="C79" s="22">
        <v>6724</v>
      </c>
      <c r="D79" s="22">
        <v>45781</v>
      </c>
    </row>
    <row r="80" spans="1:4" ht="14.4" customHeight="1">
      <c r="A80" s="2" t="s">
        <v>202</v>
      </c>
      <c r="B80" s="22">
        <v>2.0590000000000002</v>
      </c>
      <c r="C80" s="22">
        <v>-1.4156</v>
      </c>
      <c r="D80" s="22">
        <v>3.4746000000000001</v>
      </c>
    </row>
    <row r="81" spans="1:4" ht="14.4" customHeight="1">
      <c r="A81" s="2"/>
      <c r="B81" s="22"/>
      <c r="C81" s="22"/>
      <c r="D81" s="22"/>
    </row>
    <row r="82" spans="1:4" ht="17.55" customHeight="1">
      <c r="A82" s="39" t="s">
        <v>203</v>
      </c>
      <c r="B82" s="40"/>
      <c r="C82" s="40"/>
      <c r="D82" s="40"/>
    </row>
    <row r="83" spans="1:4" ht="14.4" customHeight="1">
      <c r="A83" s="2" t="s">
        <v>204</v>
      </c>
      <c r="B83" s="22">
        <v>4817584</v>
      </c>
      <c r="C83" s="22">
        <v>5102866</v>
      </c>
      <c r="D83" s="22">
        <v>-285282</v>
      </c>
    </row>
    <row r="84" spans="1:4" ht="14.4" customHeight="1">
      <c r="A84" s="2" t="s">
        <v>205</v>
      </c>
      <c r="B84" s="22">
        <v>-3401646</v>
      </c>
      <c r="C84" s="22">
        <v>-3399104</v>
      </c>
      <c r="D84" s="22">
        <v>-2542</v>
      </c>
    </row>
    <row r="85" spans="1:4" ht="14.4" customHeight="1">
      <c r="A85" s="2" t="s">
        <v>206</v>
      </c>
      <c r="B85" s="22">
        <v>-3956</v>
      </c>
      <c r="C85" s="22">
        <v>-6138</v>
      </c>
      <c r="D85" s="22">
        <v>2182</v>
      </c>
    </row>
    <row r="86" spans="1:4" ht="14.4" customHeight="1">
      <c r="A86" s="2" t="s">
        <v>207</v>
      </c>
      <c r="B86" s="22">
        <v>-81528</v>
      </c>
      <c r="C86" s="22">
        <v>-94899</v>
      </c>
      <c r="D86" s="22">
        <v>13371</v>
      </c>
    </row>
    <row r="87" spans="1:4" ht="14.4" customHeight="1">
      <c r="A87" s="2" t="s">
        <v>208</v>
      </c>
      <c r="B87" s="22">
        <v>1330454</v>
      </c>
      <c r="C87" s="22">
        <v>1603725</v>
      </c>
      <c r="D87" s="22">
        <v>-273271</v>
      </c>
    </row>
    <row r="88" spans="1:4" ht="14.4" customHeight="1">
      <c r="A88" s="2" t="s">
        <v>209</v>
      </c>
      <c r="B88" s="22">
        <v>9679</v>
      </c>
      <c r="C88" s="22">
        <v>18566</v>
      </c>
      <c r="D88" s="22">
        <v>-8887</v>
      </c>
    </row>
    <row r="89" spans="1:4" ht="14.4" customHeight="1">
      <c r="A89" s="2" t="s">
        <v>210</v>
      </c>
      <c r="B89" s="22">
        <v>-250004</v>
      </c>
      <c r="C89" s="22">
        <v>-240825</v>
      </c>
      <c r="D89" s="22">
        <v>-9179</v>
      </c>
    </row>
    <row r="90" spans="1:4" ht="14.4" customHeight="1">
      <c r="A90" s="2" t="s">
        <v>211</v>
      </c>
      <c r="B90" s="22">
        <v>-2951</v>
      </c>
      <c r="C90" s="22">
        <v>-2820</v>
      </c>
      <c r="D90" s="22">
        <v>-131</v>
      </c>
    </row>
    <row r="91" spans="1:4" ht="14.4" customHeight="1">
      <c r="A91" s="2" t="s">
        <v>212</v>
      </c>
      <c r="B91" s="22">
        <v>96796</v>
      </c>
      <c r="C91" s="22">
        <v>97077</v>
      </c>
      <c r="D91" s="22">
        <v>-281</v>
      </c>
    </row>
    <row r="92" spans="1:4" ht="14.4" customHeight="1">
      <c r="A92" s="2" t="s">
        <v>213</v>
      </c>
      <c r="B92" s="22">
        <v>-107071</v>
      </c>
      <c r="C92" s="22">
        <v>-235155</v>
      </c>
      <c r="D92" s="22">
        <v>128084</v>
      </c>
    </row>
    <row r="93" spans="1:4" ht="14.4" customHeight="1">
      <c r="A93" s="2" t="s">
        <v>214</v>
      </c>
      <c r="B93" s="22">
        <v>237464</v>
      </c>
      <c r="C93" s="22">
        <v>34110</v>
      </c>
      <c r="D93" s="22">
        <v>203354</v>
      </c>
    </row>
    <row r="94" spans="1:4" ht="14.4" customHeight="1">
      <c r="A94" s="1" t="s">
        <v>215</v>
      </c>
      <c r="B94" s="24">
        <v>1314367</v>
      </c>
      <c r="C94" s="24">
        <v>1274678</v>
      </c>
      <c r="D94" s="24">
        <v>39689</v>
      </c>
    </row>
    <row r="95" spans="1:4" ht="14.4" customHeight="1">
      <c r="A95" s="2" t="s">
        <v>216</v>
      </c>
      <c r="B95" s="22">
        <v>-228</v>
      </c>
      <c r="C95" s="22">
        <v>-356846</v>
      </c>
      <c r="D95" s="22">
        <v>356618</v>
      </c>
    </row>
    <row r="96" spans="1:4" ht="14.4" customHeight="1">
      <c r="A96" s="2" t="s">
        <v>217</v>
      </c>
      <c r="B96" s="22">
        <v>-6300</v>
      </c>
      <c r="C96" s="22">
        <v>-11063</v>
      </c>
      <c r="D96" s="22">
        <v>4763</v>
      </c>
    </row>
    <row r="97" spans="1:4" ht="14.4" customHeight="1">
      <c r="A97" s="2" t="s">
        <v>218</v>
      </c>
      <c r="B97" s="22">
        <v>-11485</v>
      </c>
      <c r="C97" s="22">
        <v>-122594</v>
      </c>
      <c r="D97" s="22">
        <v>111109</v>
      </c>
    </row>
    <row r="98" spans="1:4" ht="14.4" customHeight="1">
      <c r="A98" s="2" t="s">
        <v>219</v>
      </c>
      <c r="B98" s="22">
        <v>79</v>
      </c>
      <c r="C98" s="22">
        <v>23</v>
      </c>
      <c r="D98" s="22">
        <v>56</v>
      </c>
    </row>
    <row r="99" spans="1:4" ht="14.4" customHeight="1">
      <c r="A99" s="2" t="s">
        <v>220</v>
      </c>
      <c r="B99" s="22">
        <v>1380</v>
      </c>
      <c r="C99" s="22">
        <v>-6746</v>
      </c>
      <c r="D99" s="22">
        <v>8126</v>
      </c>
    </row>
    <row r="100" spans="1:4" ht="14.4" customHeight="1">
      <c r="A100" s="2" t="s">
        <v>221</v>
      </c>
      <c r="B100" s="22">
        <v>-876676</v>
      </c>
      <c r="C100" s="22">
        <v>-971792</v>
      </c>
      <c r="D100" s="22">
        <v>95116</v>
      </c>
    </row>
    <row r="101" spans="1:4" ht="14.4" customHeight="1">
      <c r="A101" s="2" t="s">
        <v>222</v>
      </c>
      <c r="B101" s="22">
        <v>281</v>
      </c>
      <c r="C101" s="22">
        <v>13037</v>
      </c>
      <c r="D101" s="22">
        <v>-12756</v>
      </c>
    </row>
    <row r="102" spans="1:4" ht="14.4" customHeight="1">
      <c r="A102" s="2" t="s">
        <v>223</v>
      </c>
      <c r="B102" s="22">
        <v>-9762</v>
      </c>
      <c r="C102" s="22">
        <v>2093</v>
      </c>
      <c r="D102" s="22">
        <v>-11855</v>
      </c>
    </row>
    <row r="103" spans="1:4" ht="14.4" customHeight="1">
      <c r="A103" s="2" t="s">
        <v>224</v>
      </c>
      <c r="B103" s="22">
        <v>0</v>
      </c>
      <c r="C103" s="22">
        <v>-10701</v>
      </c>
      <c r="D103" s="22">
        <v>10701</v>
      </c>
    </row>
    <row r="104" spans="1:4" ht="14.4" customHeight="1">
      <c r="A104" s="2" t="s">
        <v>225</v>
      </c>
      <c r="B104" s="22">
        <v>130949</v>
      </c>
      <c r="C104" s="22">
        <v>250251</v>
      </c>
      <c r="D104" s="22">
        <v>-119302</v>
      </c>
    </row>
    <row r="105" spans="1:4" ht="14.4" customHeight="1">
      <c r="A105" s="1" t="s">
        <v>226</v>
      </c>
      <c r="B105" s="24">
        <v>-771762</v>
      </c>
      <c r="C105" s="24">
        <v>-1213992</v>
      </c>
      <c r="D105" s="24">
        <v>442230</v>
      </c>
    </row>
    <row r="106" spans="1:4" ht="14.4" customHeight="1">
      <c r="A106" s="2" t="s">
        <v>227</v>
      </c>
      <c r="B106" s="22">
        <v>-25573</v>
      </c>
      <c r="C106" s="22">
        <v>-22288</v>
      </c>
      <c r="D106" s="22">
        <v>-3285</v>
      </c>
    </row>
    <row r="107" spans="1:4" ht="14.4" customHeight="1">
      <c r="A107" s="2" t="s">
        <v>228</v>
      </c>
      <c r="B107" s="22">
        <v>607006</v>
      </c>
      <c r="C107" s="22">
        <v>886000</v>
      </c>
      <c r="D107" s="22">
        <v>-278994</v>
      </c>
    </row>
    <row r="108" spans="1:4" ht="14.4" customHeight="1">
      <c r="A108" s="2" t="s">
        <v>229</v>
      </c>
      <c r="B108" s="22">
        <v>1115000</v>
      </c>
      <c r="C108" s="22">
        <v>1250000</v>
      </c>
      <c r="D108" s="22">
        <v>-135000</v>
      </c>
    </row>
    <row r="109" spans="1:4" ht="14.4" customHeight="1">
      <c r="A109" s="2" t="s">
        <v>230</v>
      </c>
      <c r="B109" s="22">
        <v>-1839565</v>
      </c>
      <c r="C109" s="22">
        <v>-1764869</v>
      </c>
      <c r="D109" s="22">
        <v>-74696</v>
      </c>
    </row>
    <row r="110" spans="1:4" ht="14.4" customHeight="1">
      <c r="A110" s="2" t="s">
        <v>231</v>
      </c>
      <c r="B110" s="22">
        <v>454</v>
      </c>
      <c r="C110" s="22">
        <v>759</v>
      </c>
      <c r="D110" s="22">
        <v>-305</v>
      </c>
    </row>
    <row r="111" spans="1:4" ht="14.4" customHeight="1">
      <c r="A111" s="2" t="s">
        <v>232</v>
      </c>
      <c r="B111" s="22">
        <v>-4273</v>
      </c>
      <c r="C111" s="22">
        <v>-67219</v>
      </c>
      <c r="D111" s="22">
        <v>62946</v>
      </c>
    </row>
    <row r="112" spans="1:4" ht="14.4" customHeight="1">
      <c r="A112" s="1" t="s">
        <v>233</v>
      </c>
      <c r="B112" s="24">
        <v>-146951</v>
      </c>
      <c r="C112" s="24">
        <v>282383</v>
      </c>
      <c r="D112" s="24">
        <v>-429334</v>
      </c>
    </row>
    <row r="113" spans="1:4" ht="14.4" customHeight="1">
      <c r="A113" s="2" t="s">
        <v>234</v>
      </c>
      <c r="B113" s="22">
        <v>395654</v>
      </c>
      <c r="C113" s="22">
        <v>343069</v>
      </c>
      <c r="D113" s="22">
        <v>52585</v>
      </c>
    </row>
    <row r="114" spans="1:4" ht="14.4" customHeight="1">
      <c r="A114" s="2" t="s">
        <v>235</v>
      </c>
      <c r="B114" s="22">
        <v>-23184</v>
      </c>
      <c r="C114" s="22">
        <v>-6587</v>
      </c>
      <c r="D114" s="22">
        <v>-16597</v>
      </c>
    </row>
    <row r="115" spans="1:4" ht="14.4" customHeight="1">
      <c r="A115" s="1" t="s">
        <v>236</v>
      </c>
      <c r="B115" s="24">
        <v>372470</v>
      </c>
      <c r="C115" s="24">
        <v>336482</v>
      </c>
      <c r="D115" s="24">
        <v>35988</v>
      </c>
    </row>
    <row r="116" spans="1:4" ht="14.4" customHeight="1">
      <c r="A116" s="2" t="s">
        <v>237</v>
      </c>
      <c r="B116" s="22">
        <v>1377851</v>
      </c>
      <c r="C116" s="22">
        <v>1041369</v>
      </c>
      <c r="D116" s="22">
        <v>336482</v>
      </c>
    </row>
    <row r="117" spans="1:4" ht="14.4" customHeight="1">
      <c r="A117" s="1" t="s">
        <v>238</v>
      </c>
      <c r="B117" s="24">
        <v>1750321</v>
      </c>
      <c r="C117" s="24">
        <v>1377851</v>
      </c>
      <c r="D117" s="24">
        <v>372470</v>
      </c>
    </row>
  </sheetData>
  <mergeCells count="5">
    <mergeCell ref="A82:D82"/>
    <mergeCell ref="A1:D1"/>
    <mergeCell ref="A4:D4"/>
    <mergeCell ref="A31:D31"/>
    <mergeCell ref="A61:D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3"/>
  <sheetViews>
    <sheetView topLeftCell="A3" workbookViewId="0">
      <selection sqref="A1:F1"/>
    </sheetView>
  </sheetViews>
  <sheetFormatPr baseColWidth="10" defaultColWidth="8.796875" defaultRowHeight="13.8"/>
  <cols>
    <col min="1" max="1" width="46" customWidth="1"/>
    <col min="2" max="3" width="16" customWidth="1"/>
    <col min="4" max="4" width="36" customWidth="1"/>
    <col min="5" max="6" width="12" customWidth="1"/>
  </cols>
  <sheetData>
    <row r="1" spans="1:6" ht="24" customHeight="1">
      <c r="A1" s="41" t="s">
        <v>239</v>
      </c>
      <c r="B1" s="42"/>
      <c r="C1" s="42"/>
      <c r="D1" s="41"/>
      <c r="E1" s="42"/>
      <c r="F1" s="42"/>
    </row>
    <row r="2" spans="1:6" ht="16.8" customHeight="1">
      <c r="A2" s="43" t="s">
        <v>240</v>
      </c>
      <c r="B2" s="44"/>
      <c r="C2" s="44"/>
      <c r="D2" s="44"/>
      <c r="E2" s="44"/>
      <c r="F2" s="45"/>
    </row>
    <row r="3" spans="1:6" ht="14.4" customHeight="1">
      <c r="A3" s="2"/>
      <c r="B3" s="2"/>
      <c r="C3" s="2"/>
      <c r="D3" s="2"/>
      <c r="E3" s="2"/>
      <c r="F3" s="2"/>
    </row>
    <row r="4" spans="1:6" ht="17.55" customHeight="1">
      <c r="A4" s="39" t="s">
        <v>241</v>
      </c>
      <c r="B4" s="40"/>
      <c r="C4" s="40"/>
      <c r="D4" s="39"/>
      <c r="E4" s="39"/>
      <c r="F4" s="18"/>
    </row>
    <row r="5" spans="1:6" ht="18.45" customHeight="1">
      <c r="A5" s="9" t="s">
        <v>131</v>
      </c>
      <c r="B5" s="31" t="s">
        <v>13</v>
      </c>
      <c r="C5" s="31" t="s">
        <v>14</v>
      </c>
      <c r="D5" s="9" t="s">
        <v>242</v>
      </c>
      <c r="E5" s="9"/>
      <c r="F5" s="9"/>
    </row>
    <row r="6" spans="1:6" ht="14.4" customHeight="1">
      <c r="A6" s="2" t="s">
        <v>243</v>
      </c>
      <c r="B6" s="22">
        <v>299261</v>
      </c>
      <c r="C6" s="22">
        <v>150126</v>
      </c>
      <c r="D6" s="5"/>
      <c r="E6" s="2"/>
      <c r="F6" s="2"/>
    </row>
    <row r="7" spans="1:6" ht="14.4" customHeight="1">
      <c r="A7" s="2" t="s">
        <v>244</v>
      </c>
      <c r="B7" s="22">
        <v>603903</v>
      </c>
      <c r="C7" s="22">
        <v>698134</v>
      </c>
      <c r="D7" s="5"/>
      <c r="E7" s="2"/>
      <c r="F7" s="2"/>
    </row>
    <row r="8" spans="1:6" ht="14.4" customHeight="1">
      <c r="A8" s="2" t="s">
        <v>245</v>
      </c>
      <c r="B8" s="22">
        <v>900314</v>
      </c>
      <c r="C8" s="22">
        <v>853925</v>
      </c>
      <c r="D8" s="5"/>
      <c r="E8" s="2"/>
      <c r="F8" s="2"/>
    </row>
    <row r="9" spans="1:6" ht="14.4" customHeight="1">
      <c r="A9" s="19" t="s">
        <v>246</v>
      </c>
      <c r="B9" s="23">
        <v>1803478</v>
      </c>
      <c r="C9" s="23">
        <v>1702185</v>
      </c>
      <c r="D9" s="20"/>
      <c r="E9" s="19"/>
      <c r="F9" s="19"/>
    </row>
    <row r="10" spans="1:6" ht="14.4" customHeight="1">
      <c r="A10" s="2" t="s">
        <v>247</v>
      </c>
      <c r="B10" s="22">
        <v>162934</v>
      </c>
      <c r="C10" s="22">
        <v>249105</v>
      </c>
      <c r="D10" s="5"/>
      <c r="E10" s="2"/>
      <c r="F10" s="2"/>
    </row>
    <row r="11" spans="1:6" ht="14.4" customHeight="1">
      <c r="A11" s="2" t="s">
        <v>248</v>
      </c>
      <c r="B11" s="22">
        <v>243756</v>
      </c>
      <c r="C11" s="22">
        <v>138625</v>
      </c>
      <c r="D11" s="5"/>
      <c r="E11" s="2"/>
      <c r="F11" s="2"/>
    </row>
    <row r="12" spans="1:6" ht="14.4" customHeight="1">
      <c r="A12" s="2" t="s">
        <v>249</v>
      </c>
      <c r="B12" s="22">
        <v>16571</v>
      </c>
      <c r="C12" s="22">
        <v>5082</v>
      </c>
      <c r="D12" s="5"/>
      <c r="E12" s="2"/>
      <c r="F12" s="2"/>
    </row>
    <row r="13" spans="1:6" ht="14.4" customHeight="1">
      <c r="A13" s="2" t="s">
        <v>250</v>
      </c>
      <c r="B13" s="22">
        <v>72477</v>
      </c>
      <c r="C13" s="22">
        <v>75100</v>
      </c>
      <c r="D13" s="5"/>
      <c r="E13" s="2"/>
      <c r="F13" s="2"/>
    </row>
    <row r="14" spans="1:6" ht="14.4" customHeight="1">
      <c r="A14" s="2" t="s">
        <v>251</v>
      </c>
      <c r="B14" s="22">
        <v>22389</v>
      </c>
      <c r="C14" s="22">
        <v>34450</v>
      </c>
      <c r="D14" s="5"/>
      <c r="E14" s="2"/>
      <c r="F14" s="2"/>
    </row>
    <row r="15" spans="1:6" ht="14.4" customHeight="1">
      <c r="A15" s="19" t="s">
        <v>252</v>
      </c>
      <c r="B15" s="23">
        <v>111437</v>
      </c>
      <c r="C15" s="23">
        <v>114632</v>
      </c>
      <c r="D15" s="20"/>
      <c r="E15" s="19"/>
      <c r="F15" s="19"/>
    </row>
    <row r="16" spans="1:6" ht="14.4" customHeight="1">
      <c r="A16" s="2"/>
      <c r="B16" s="22"/>
      <c r="C16" s="22"/>
      <c r="D16" s="5"/>
      <c r="E16" s="2"/>
      <c r="F16" s="2"/>
    </row>
    <row r="17" spans="1:6" ht="14.4" customHeight="1">
      <c r="A17" s="2"/>
      <c r="B17" s="22"/>
      <c r="C17" s="22"/>
      <c r="D17" s="5"/>
      <c r="E17" s="2"/>
      <c r="F17" s="2"/>
    </row>
    <row r="18" spans="1:6" ht="17.55" customHeight="1">
      <c r="A18" s="39" t="s">
        <v>253</v>
      </c>
      <c r="B18" s="40"/>
      <c r="C18" s="40"/>
      <c r="D18" s="46"/>
      <c r="E18" s="39"/>
      <c r="F18" s="39"/>
    </row>
    <row r="19" spans="1:6" ht="18.45" customHeight="1">
      <c r="A19" s="9" t="s">
        <v>131</v>
      </c>
      <c r="B19" s="26" t="s">
        <v>254</v>
      </c>
      <c r="C19" s="26" t="s">
        <v>255</v>
      </c>
      <c r="D19" s="25" t="s">
        <v>256</v>
      </c>
      <c r="E19" s="9" t="s">
        <v>257</v>
      </c>
      <c r="F19" s="9"/>
    </row>
    <row r="20" spans="1:6" ht="14.4" customHeight="1">
      <c r="A20" s="2" t="s">
        <v>258</v>
      </c>
      <c r="B20" s="22">
        <v>379667</v>
      </c>
      <c r="C20" s="22">
        <v>293291</v>
      </c>
      <c r="D20" s="22">
        <v>672958</v>
      </c>
      <c r="E20" s="22">
        <v>977646</v>
      </c>
      <c r="F20" s="2"/>
    </row>
    <row r="21" spans="1:6" ht="14.4" customHeight="1">
      <c r="A21" s="2" t="s">
        <v>259</v>
      </c>
      <c r="B21" s="22">
        <v>56802</v>
      </c>
      <c r="C21" s="22">
        <v>3925475</v>
      </c>
      <c r="D21" s="22">
        <v>3982277</v>
      </c>
      <c r="E21" s="22">
        <v>3757230</v>
      </c>
      <c r="F21" s="2"/>
    </row>
    <row r="22" spans="1:6" ht="14.4" customHeight="1">
      <c r="A22" s="2" t="s">
        <v>260</v>
      </c>
      <c r="B22" s="22">
        <v>30237</v>
      </c>
      <c r="C22" s="22">
        <v>1791</v>
      </c>
      <c r="D22" s="22">
        <v>32028</v>
      </c>
      <c r="E22" s="22">
        <v>28756</v>
      </c>
      <c r="F22" s="2"/>
    </row>
    <row r="23" spans="1:6" ht="14.4" customHeight="1">
      <c r="A23" s="2" t="s">
        <v>261</v>
      </c>
      <c r="B23" s="22">
        <v>4049</v>
      </c>
      <c r="C23" s="22">
        <v>0</v>
      </c>
      <c r="D23" s="22">
        <v>4049</v>
      </c>
      <c r="E23" s="22">
        <v>418</v>
      </c>
      <c r="F23" s="2"/>
    </row>
    <row r="24" spans="1:6" ht="14.4" customHeight="1">
      <c r="A24" s="19" t="s">
        <v>262</v>
      </c>
      <c r="B24" s="23">
        <v>470755</v>
      </c>
      <c r="C24" s="23">
        <v>4220557</v>
      </c>
      <c r="D24" s="23">
        <v>4691312</v>
      </c>
      <c r="E24" s="23">
        <v>4764050</v>
      </c>
      <c r="F24" s="19"/>
    </row>
    <row r="25" spans="1:6" ht="14.4" customHeight="1">
      <c r="A25" s="2"/>
      <c r="B25" s="22"/>
      <c r="C25" s="22"/>
      <c r="D25" s="22"/>
      <c r="E25" s="22"/>
      <c r="F25" s="2"/>
    </row>
    <row r="26" spans="1:6" ht="17.55" customHeight="1">
      <c r="A26" s="39" t="s">
        <v>263</v>
      </c>
      <c r="B26" s="40"/>
      <c r="C26" s="40"/>
      <c r="D26" s="40"/>
      <c r="E26" s="40"/>
      <c r="F26" s="18"/>
    </row>
    <row r="27" spans="1:6" ht="14.4" customHeight="1">
      <c r="A27" s="4" t="s">
        <v>264</v>
      </c>
      <c r="B27" s="27" t="s">
        <v>265</v>
      </c>
      <c r="C27" s="27" t="s">
        <v>266</v>
      </c>
      <c r="D27" s="27" t="s">
        <v>267</v>
      </c>
      <c r="E27" s="27"/>
      <c r="F27" s="2"/>
    </row>
    <row r="28" spans="1:6" ht="14.4" customHeight="1">
      <c r="A28" s="2" t="s">
        <v>268</v>
      </c>
      <c r="B28" s="22" t="s">
        <v>269</v>
      </c>
      <c r="C28" s="22" t="s">
        <v>270</v>
      </c>
      <c r="D28" s="22">
        <v>448360</v>
      </c>
      <c r="E28" s="22"/>
      <c r="F28" s="2"/>
    </row>
    <row r="29" spans="1:6" ht="14.4" customHeight="1">
      <c r="A29" s="2" t="s">
        <v>271</v>
      </c>
      <c r="B29" s="22" t="s">
        <v>272</v>
      </c>
      <c r="C29" s="22" t="s">
        <v>270</v>
      </c>
      <c r="D29" s="22">
        <v>394585</v>
      </c>
      <c r="E29" s="22"/>
      <c r="F29" s="2"/>
    </row>
    <row r="30" spans="1:6" ht="14.4" customHeight="1">
      <c r="A30" s="2" t="s">
        <v>273</v>
      </c>
      <c r="B30" s="22" t="s">
        <v>274</v>
      </c>
      <c r="C30" s="22" t="s">
        <v>270</v>
      </c>
      <c r="D30" s="22">
        <v>686316</v>
      </c>
      <c r="E30" s="22"/>
      <c r="F30" s="2"/>
    </row>
    <row r="31" spans="1:6" ht="14.4" customHeight="1">
      <c r="A31" s="2" t="s">
        <v>275</v>
      </c>
      <c r="B31" s="22" t="s">
        <v>276</v>
      </c>
      <c r="C31" s="22" t="s">
        <v>270</v>
      </c>
      <c r="D31" s="22">
        <v>739017</v>
      </c>
      <c r="E31" s="22"/>
      <c r="F31" s="2"/>
    </row>
    <row r="32" spans="1:6" ht="14.4" customHeight="1">
      <c r="A32" s="2" t="s">
        <v>277</v>
      </c>
      <c r="B32" s="22" t="s">
        <v>278</v>
      </c>
      <c r="C32" s="22" t="s">
        <v>270</v>
      </c>
      <c r="D32" s="22">
        <v>835145</v>
      </c>
      <c r="E32" s="22"/>
      <c r="F32" s="2"/>
    </row>
    <row r="33" spans="1:6" ht="14.4" customHeight="1">
      <c r="A33" s="2" t="s">
        <v>279</v>
      </c>
      <c r="B33" s="22" t="s">
        <v>280</v>
      </c>
      <c r="C33" s="22" t="s">
        <v>281</v>
      </c>
      <c r="D33" s="22">
        <v>55222</v>
      </c>
      <c r="E33" s="22"/>
      <c r="F33" s="2"/>
    </row>
    <row r="34" spans="1:6" ht="14.4" customHeight="1">
      <c r="A34" s="2" t="s">
        <v>282</v>
      </c>
      <c r="B34" s="22" t="s">
        <v>283</v>
      </c>
      <c r="C34" s="22" t="s">
        <v>281</v>
      </c>
      <c r="D34" s="22">
        <v>65197</v>
      </c>
      <c r="E34" s="22"/>
      <c r="F34" s="2"/>
    </row>
    <row r="35" spans="1:6" ht="14.4" customHeight="1">
      <c r="A35" s="2" t="s">
        <v>284</v>
      </c>
      <c r="B35" s="22" t="s">
        <v>285</v>
      </c>
      <c r="C35" s="22" t="s">
        <v>281</v>
      </c>
      <c r="D35" s="22">
        <v>131370</v>
      </c>
      <c r="E35" s="22"/>
      <c r="F35" s="2"/>
    </row>
    <row r="36" spans="1:6" ht="14.4" customHeight="1">
      <c r="A36" s="2" t="s">
        <v>286</v>
      </c>
      <c r="B36" s="22" t="s">
        <v>287</v>
      </c>
      <c r="C36" s="22" t="s">
        <v>281</v>
      </c>
      <c r="D36" s="22">
        <v>131138</v>
      </c>
      <c r="E36" s="22"/>
      <c r="F36" s="2"/>
    </row>
    <row r="37" spans="1:6" ht="14.4" customHeight="1">
      <c r="A37" s="2" t="s">
        <v>288</v>
      </c>
      <c r="B37" s="22" t="s">
        <v>289</v>
      </c>
      <c r="C37" s="22" t="s">
        <v>281</v>
      </c>
      <c r="D37" s="22">
        <v>439125</v>
      </c>
      <c r="E37" s="22"/>
      <c r="F37" s="2"/>
    </row>
    <row r="38" spans="1:6" ht="14.4" customHeight="1">
      <c r="A38" s="2"/>
      <c r="B38" s="22"/>
      <c r="C38" s="22"/>
      <c r="D38" s="22"/>
      <c r="E38" s="22"/>
      <c r="F38" s="2"/>
    </row>
    <row r="39" spans="1:6" ht="14.4" customHeight="1">
      <c r="A39" s="2"/>
      <c r="B39" s="22"/>
      <c r="C39" s="22"/>
      <c r="D39" s="22"/>
      <c r="E39" s="22"/>
      <c r="F39" s="2"/>
    </row>
    <row r="40" spans="1:6" ht="17.55" customHeight="1">
      <c r="A40" s="39" t="s">
        <v>290</v>
      </c>
      <c r="B40" s="40"/>
      <c r="C40" s="40"/>
      <c r="D40" s="40"/>
      <c r="E40" s="40"/>
      <c r="F40" s="18"/>
    </row>
    <row r="41" spans="1:6" ht="18.45" customHeight="1">
      <c r="A41" s="9" t="s">
        <v>131</v>
      </c>
      <c r="B41" s="26" t="s">
        <v>13</v>
      </c>
      <c r="C41" s="26" t="s">
        <v>14</v>
      </c>
      <c r="D41" s="26" t="s">
        <v>291</v>
      </c>
      <c r="E41" s="26"/>
      <c r="F41" s="9"/>
    </row>
    <row r="42" spans="1:6" ht="14.4" customHeight="1">
      <c r="A42" s="2" t="s">
        <v>292</v>
      </c>
      <c r="B42" s="22">
        <v>11913</v>
      </c>
      <c r="C42" s="22">
        <v>8430</v>
      </c>
      <c r="D42" s="22" t="s">
        <v>293</v>
      </c>
      <c r="E42" s="22"/>
      <c r="F42" s="2"/>
    </row>
    <row r="43" spans="1:6" ht="14.4" customHeight="1">
      <c r="A43" s="2" t="s">
        <v>294</v>
      </c>
      <c r="B43" s="22">
        <v>133073</v>
      </c>
      <c r="C43" s="22">
        <v>133119</v>
      </c>
      <c r="D43" s="22" t="s">
        <v>293</v>
      </c>
      <c r="E43" s="22"/>
      <c r="F43" s="2"/>
    </row>
    <row r="44" spans="1:6" ht="14.4" customHeight="1">
      <c r="A44" s="2" t="s">
        <v>295</v>
      </c>
      <c r="B44" s="22">
        <v>4909</v>
      </c>
      <c r="C44" s="22">
        <v>4909</v>
      </c>
      <c r="D44" s="22" t="s">
        <v>296</v>
      </c>
      <c r="E44" s="22"/>
      <c r="F44" s="2"/>
    </row>
    <row r="45" spans="1:6" ht="14.4" customHeight="1">
      <c r="A45" s="2" t="s">
        <v>297</v>
      </c>
      <c r="B45" s="22">
        <v>0</v>
      </c>
      <c r="C45" s="22">
        <v>3791</v>
      </c>
      <c r="D45" s="22" t="s">
        <v>293</v>
      </c>
      <c r="E45" s="22"/>
      <c r="F45" s="2"/>
    </row>
    <row r="46" spans="1:6" ht="14.4" customHeight="1">
      <c r="A46" s="2" t="s">
        <v>298</v>
      </c>
      <c r="B46" s="22">
        <v>11732</v>
      </c>
      <c r="C46" s="22">
        <v>14761</v>
      </c>
      <c r="D46" s="22" t="s">
        <v>293</v>
      </c>
      <c r="E46" s="22"/>
      <c r="F46" s="2"/>
    </row>
    <row r="47" spans="1:6" ht="14.4" customHeight="1">
      <c r="A47" s="2" t="s">
        <v>299</v>
      </c>
      <c r="B47" s="22">
        <v>2388252</v>
      </c>
      <c r="C47" s="22">
        <v>0</v>
      </c>
      <c r="D47" s="22" t="s">
        <v>293</v>
      </c>
      <c r="E47" s="22"/>
      <c r="F47" s="2"/>
    </row>
    <row r="48" spans="1:6" ht="14.4" customHeight="1">
      <c r="A48" s="2" t="s">
        <v>300</v>
      </c>
      <c r="B48" s="22">
        <v>3173</v>
      </c>
      <c r="C48" s="22">
        <v>2958</v>
      </c>
      <c r="D48" s="22" t="s">
        <v>293</v>
      </c>
      <c r="E48" s="22"/>
      <c r="F48" s="2"/>
    </row>
    <row r="49" spans="1:6" ht="14.4" customHeight="1">
      <c r="A49" s="2" t="s">
        <v>150</v>
      </c>
      <c r="B49" s="22">
        <v>2553052</v>
      </c>
      <c r="C49" s="22">
        <v>167968</v>
      </c>
      <c r="D49" s="22"/>
      <c r="E49" s="22"/>
      <c r="F49" s="2"/>
    </row>
    <row r="50" spans="1:6" ht="14.4" customHeight="1">
      <c r="A50" s="2" t="s">
        <v>151</v>
      </c>
      <c r="B50" s="22">
        <v>958</v>
      </c>
      <c r="C50" s="22">
        <v>948</v>
      </c>
      <c r="D50" s="22" t="s">
        <v>296</v>
      </c>
      <c r="E50" s="22"/>
      <c r="F50" s="2"/>
    </row>
    <row r="51" spans="1:6" ht="14.4" customHeight="1">
      <c r="A51" s="19" t="s">
        <v>301</v>
      </c>
      <c r="B51" s="23">
        <v>2554010</v>
      </c>
      <c r="C51" s="23">
        <v>168916</v>
      </c>
      <c r="D51" s="23"/>
      <c r="E51" s="23"/>
      <c r="F51" s="19"/>
    </row>
    <row r="52" spans="1:6" ht="14.4" customHeight="1">
      <c r="A52" s="2"/>
      <c r="B52" s="22"/>
      <c r="C52" s="22"/>
      <c r="D52" s="22"/>
      <c r="E52" s="22"/>
      <c r="F52" s="2"/>
    </row>
    <row r="53" spans="1:6" ht="17.55" customHeight="1">
      <c r="A53" s="39" t="s">
        <v>302</v>
      </c>
      <c r="B53" s="40"/>
      <c r="C53" s="40"/>
      <c r="D53" s="40"/>
      <c r="E53" s="40"/>
      <c r="F53" s="18"/>
    </row>
    <row r="54" spans="1:6" ht="18.45" customHeight="1">
      <c r="A54" s="9" t="s">
        <v>131</v>
      </c>
      <c r="B54" s="26" t="s">
        <v>13</v>
      </c>
      <c r="C54" s="26" t="s">
        <v>14</v>
      </c>
      <c r="D54" s="26" t="s">
        <v>242</v>
      </c>
      <c r="E54" s="26"/>
      <c r="F54" s="9"/>
    </row>
    <row r="55" spans="1:6" ht="14.4" customHeight="1">
      <c r="A55" s="2" t="s">
        <v>303</v>
      </c>
      <c r="B55" s="22">
        <v>24690</v>
      </c>
      <c r="C55" s="22">
        <v>24698</v>
      </c>
      <c r="D55" s="22"/>
      <c r="E55" s="22"/>
      <c r="F55" s="2"/>
    </row>
    <row r="56" spans="1:6" ht="14.4" customHeight="1">
      <c r="A56" s="2" t="s">
        <v>304</v>
      </c>
      <c r="B56" s="22">
        <v>369963</v>
      </c>
      <c r="C56" s="22">
        <v>340807</v>
      </c>
      <c r="D56" s="22"/>
      <c r="E56" s="22"/>
      <c r="F56" s="2"/>
    </row>
    <row r="57" spans="1:6" ht="14.4" customHeight="1">
      <c r="A57" s="2" t="s">
        <v>305</v>
      </c>
      <c r="B57" s="22">
        <v>197338</v>
      </c>
      <c r="C57" s="22">
        <v>135091</v>
      </c>
      <c r="D57" s="22"/>
      <c r="E57" s="22"/>
      <c r="F57" s="2"/>
    </row>
    <row r="58" spans="1:6" ht="14.4" customHeight="1">
      <c r="A58" s="2" t="s">
        <v>306</v>
      </c>
      <c r="B58" s="22">
        <v>8212</v>
      </c>
      <c r="C58" s="22">
        <v>8125</v>
      </c>
      <c r="D58" s="22"/>
      <c r="E58" s="22"/>
      <c r="F58" s="2"/>
    </row>
    <row r="59" spans="1:6" ht="14.4" customHeight="1">
      <c r="A59" s="2" t="s">
        <v>307</v>
      </c>
      <c r="B59" s="22">
        <v>6765</v>
      </c>
      <c r="C59" s="22">
        <v>4405</v>
      </c>
      <c r="D59" s="22"/>
      <c r="E59" s="22"/>
      <c r="F59" s="2"/>
    </row>
    <row r="60" spans="1:6" ht="14.4" customHeight="1">
      <c r="A60" s="2" t="s">
        <v>308</v>
      </c>
      <c r="B60" s="22">
        <v>1447</v>
      </c>
      <c r="C60" s="22">
        <v>1435</v>
      </c>
      <c r="D60" s="22"/>
      <c r="E60" s="22"/>
      <c r="F60" s="2"/>
    </row>
    <row r="61" spans="1:6" ht="14.4" customHeight="1">
      <c r="A61" s="2" t="s">
        <v>309</v>
      </c>
      <c r="B61" s="22">
        <v>1184</v>
      </c>
      <c r="C61" s="22">
        <v>1518</v>
      </c>
      <c r="D61" s="22"/>
      <c r="E61" s="22"/>
      <c r="F61" s="2"/>
    </row>
    <row r="62" spans="1:6" ht="14.4" customHeight="1">
      <c r="A62" s="2" t="s">
        <v>310</v>
      </c>
      <c r="B62" s="22">
        <v>181715</v>
      </c>
      <c r="C62" s="22">
        <v>162074</v>
      </c>
      <c r="D62" s="22"/>
      <c r="E62" s="22"/>
      <c r="F62" s="2"/>
    </row>
    <row r="63" spans="1:6" ht="14.4" customHeight="1">
      <c r="A63" s="2" t="s">
        <v>311</v>
      </c>
      <c r="B63" s="22">
        <v>6877</v>
      </c>
      <c r="C63" s="22">
        <v>5281</v>
      </c>
      <c r="D63" s="22"/>
      <c r="E63" s="22"/>
      <c r="F63" s="2"/>
    </row>
    <row r="64" spans="1:6" ht="14.4" customHeight="1">
      <c r="A64" s="2" t="s">
        <v>312</v>
      </c>
      <c r="B64" s="22">
        <v>1733</v>
      </c>
      <c r="C64" s="22">
        <v>2269</v>
      </c>
      <c r="D64" s="22"/>
      <c r="E64" s="22"/>
      <c r="F64" s="2"/>
    </row>
    <row r="65" spans="1:6" ht="14.4" customHeight="1">
      <c r="A65" s="2" t="s">
        <v>313</v>
      </c>
      <c r="B65" s="22">
        <v>2478218</v>
      </c>
      <c r="C65" s="22">
        <v>1957128</v>
      </c>
      <c r="D65" s="22"/>
      <c r="E65" s="22"/>
      <c r="F65" s="2"/>
    </row>
    <row r="66" spans="1:6" ht="14.4" customHeight="1">
      <c r="A66" s="2" t="s">
        <v>314</v>
      </c>
      <c r="B66" s="22">
        <v>1561348</v>
      </c>
      <c r="C66" s="22">
        <v>1790814</v>
      </c>
      <c r="D66" s="22"/>
      <c r="E66" s="22"/>
      <c r="F66" s="2"/>
    </row>
    <row r="67" spans="1:6" ht="14.4" customHeight="1">
      <c r="A67" s="19" t="s">
        <v>315</v>
      </c>
      <c r="B67" s="23">
        <v>4839490</v>
      </c>
      <c r="C67" s="23">
        <v>4433645</v>
      </c>
      <c r="D67" s="23"/>
      <c r="E67" s="23"/>
      <c r="F67" s="19"/>
    </row>
    <row r="68" spans="1:6" ht="14.4" customHeight="1">
      <c r="A68" s="2"/>
      <c r="B68" s="22"/>
      <c r="C68" s="22"/>
      <c r="D68" s="22"/>
      <c r="E68" s="22"/>
      <c r="F68" s="2"/>
    </row>
    <row r="69" spans="1:6" ht="17.55" customHeight="1">
      <c r="A69" s="39" t="s">
        <v>316</v>
      </c>
      <c r="B69" s="40"/>
      <c r="C69" s="40"/>
      <c r="D69" s="40"/>
      <c r="E69" s="40"/>
      <c r="F69" s="18"/>
    </row>
    <row r="70" spans="1:6" ht="18.45" customHeight="1">
      <c r="A70" s="9" t="s">
        <v>131</v>
      </c>
      <c r="B70" s="26" t="s">
        <v>13</v>
      </c>
      <c r="C70" s="26" t="s">
        <v>14</v>
      </c>
      <c r="D70" s="26" t="s">
        <v>242</v>
      </c>
      <c r="E70" s="26"/>
      <c r="F70" s="9"/>
    </row>
    <row r="71" spans="1:6" ht="14.4" customHeight="1">
      <c r="A71" s="2" t="s">
        <v>317</v>
      </c>
      <c r="B71" s="22">
        <v>960726</v>
      </c>
      <c r="C71" s="22">
        <v>974414</v>
      </c>
      <c r="D71" s="22"/>
      <c r="E71" s="22"/>
      <c r="F71" s="2"/>
    </row>
    <row r="72" spans="1:6" ht="14.4" customHeight="1">
      <c r="A72" s="2" t="s">
        <v>318</v>
      </c>
      <c r="B72" s="22">
        <v>0.27</v>
      </c>
      <c r="C72" s="22">
        <v>0.27</v>
      </c>
      <c r="D72" s="22"/>
      <c r="E72" s="22"/>
      <c r="F72" s="2"/>
    </row>
    <row r="73" spans="1:6" ht="14.4" customHeight="1">
      <c r="A73" s="2" t="s">
        <v>319</v>
      </c>
      <c r="B73" s="22">
        <v>-259396</v>
      </c>
      <c r="C73" s="22">
        <v>-263092</v>
      </c>
      <c r="D73" s="22"/>
      <c r="E73" s="22"/>
      <c r="F73" s="2"/>
    </row>
    <row r="74" spans="1:6" ht="14.4" customHeight="1">
      <c r="A74" s="2" t="s">
        <v>320</v>
      </c>
      <c r="B74" s="22">
        <v>-869</v>
      </c>
      <c r="C74" s="22">
        <v>-4453</v>
      </c>
      <c r="D74" s="22"/>
      <c r="E74" s="22"/>
      <c r="F74" s="2"/>
    </row>
    <row r="75" spans="1:6" ht="14.4" customHeight="1">
      <c r="A75" s="2" t="s">
        <v>321</v>
      </c>
      <c r="B75" s="22">
        <v>-32514</v>
      </c>
      <c r="C75" s="22">
        <v>-1102111</v>
      </c>
      <c r="D75" s="22"/>
      <c r="E75" s="22"/>
      <c r="F75" s="2"/>
    </row>
    <row r="76" spans="1:6" ht="14.4" customHeight="1">
      <c r="A76" s="2" t="s">
        <v>322</v>
      </c>
      <c r="B76" s="22">
        <v>-27941</v>
      </c>
      <c r="C76" s="22">
        <v>-25377</v>
      </c>
      <c r="D76" s="22"/>
      <c r="E76" s="22"/>
      <c r="F76" s="2"/>
    </row>
    <row r="77" spans="1:6" ht="14.4" customHeight="1">
      <c r="A77" s="2" t="s">
        <v>323</v>
      </c>
      <c r="B77" s="22">
        <v>-3636</v>
      </c>
      <c r="C77" s="22">
        <v>1030</v>
      </c>
      <c r="D77" s="22"/>
      <c r="E77" s="22"/>
      <c r="F77" s="2"/>
    </row>
    <row r="78" spans="1:6" ht="14.4" customHeight="1">
      <c r="A78" s="2" t="s">
        <v>324</v>
      </c>
      <c r="B78" s="22">
        <v>-10441</v>
      </c>
      <c r="C78" s="22">
        <v>-5013</v>
      </c>
      <c r="D78" s="22"/>
      <c r="E78" s="22"/>
      <c r="F78" s="2"/>
    </row>
    <row r="79" spans="1:6" ht="14.4" customHeight="1">
      <c r="A79" s="2" t="s">
        <v>325</v>
      </c>
      <c r="B79" s="22">
        <v>9802</v>
      </c>
      <c r="C79" s="22">
        <v>7682</v>
      </c>
      <c r="D79" s="22"/>
      <c r="E79" s="22"/>
      <c r="F79" s="2"/>
    </row>
    <row r="80" spans="1:6" ht="14.4" customHeight="1">
      <c r="A80" s="2" t="s">
        <v>326</v>
      </c>
      <c r="B80" s="22">
        <v>0</v>
      </c>
      <c r="C80" s="22">
        <v>14750</v>
      </c>
      <c r="D80" s="22"/>
      <c r="E80" s="22"/>
      <c r="F80" s="2"/>
    </row>
    <row r="81" spans="1:6" ht="14.4" customHeight="1">
      <c r="A81" s="2" t="s">
        <v>327</v>
      </c>
      <c r="B81" s="22">
        <v>4912</v>
      </c>
      <c r="C81" s="22">
        <v>4535</v>
      </c>
      <c r="D81" s="22"/>
      <c r="E81" s="22"/>
      <c r="F81" s="2"/>
    </row>
    <row r="82" spans="1:6" ht="14.4" customHeight="1">
      <c r="A82" s="2" t="s">
        <v>198</v>
      </c>
      <c r="B82" s="22">
        <v>-320083</v>
      </c>
      <c r="C82" s="22">
        <v>-1372049</v>
      </c>
      <c r="D82" s="22"/>
      <c r="E82" s="22"/>
      <c r="F82" s="2"/>
    </row>
    <row r="83" spans="1:6" ht="14.4" customHeight="1">
      <c r="A83" s="2"/>
      <c r="B83" s="22"/>
      <c r="C83" s="22"/>
      <c r="D83" s="22"/>
      <c r="E83" s="22"/>
      <c r="F83" s="2"/>
    </row>
  </sheetData>
  <mergeCells count="8">
    <mergeCell ref="A40:E40"/>
    <mergeCell ref="A53:E53"/>
    <mergeCell ref="A69:E69"/>
    <mergeCell ref="A1:F1"/>
    <mergeCell ref="A2:F2"/>
    <mergeCell ref="A4:E4"/>
    <mergeCell ref="A18:F18"/>
    <mergeCell ref="A26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zoomScale="90" zoomScaleNormal="90" workbookViewId="0">
      <selection activeCell="J26" sqref="J26"/>
    </sheetView>
  </sheetViews>
  <sheetFormatPr baseColWidth="10" defaultColWidth="8.796875" defaultRowHeight="13.8"/>
  <cols>
    <col min="1" max="1" width="35" customWidth="1"/>
    <col min="2" max="2" width="11" customWidth="1"/>
    <col min="3" max="3" width="12.5" customWidth="1"/>
    <col min="4" max="5" width="13" customWidth="1"/>
    <col min="6" max="6" width="12" customWidth="1"/>
    <col min="7" max="7" width="3" customWidth="1"/>
    <col min="8" max="8" width="27.296875" customWidth="1"/>
    <col min="9" max="12" width="15" customWidth="1"/>
    <col min="13" max="13" width="12" customWidth="1"/>
  </cols>
  <sheetData>
    <row r="1" spans="1:13" ht="24" customHeight="1">
      <c r="A1" s="41" t="s">
        <v>328</v>
      </c>
      <c r="B1" s="42"/>
      <c r="C1" s="42"/>
      <c r="D1" s="42"/>
      <c r="E1" s="42"/>
      <c r="F1" s="42"/>
      <c r="G1" s="42"/>
      <c r="H1" s="41"/>
      <c r="I1" s="42"/>
      <c r="J1" s="42"/>
      <c r="K1" s="42"/>
      <c r="L1" s="42"/>
      <c r="M1" s="42"/>
    </row>
    <row r="2" spans="1:13" ht="16.8" customHeight="1">
      <c r="A2" s="43" t="s">
        <v>329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ht="14.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.45" customHeight="1">
      <c r="A4" s="32" t="s">
        <v>330</v>
      </c>
      <c r="B4" s="32"/>
      <c r="C4" s="32"/>
      <c r="D4" s="32"/>
      <c r="E4" s="32"/>
      <c r="F4" s="32"/>
      <c r="G4" s="2"/>
      <c r="H4" s="32" t="s">
        <v>331</v>
      </c>
      <c r="I4" s="32"/>
      <c r="J4" s="32"/>
      <c r="K4" s="32"/>
      <c r="L4" s="32"/>
      <c r="M4" s="32"/>
    </row>
    <row r="5" spans="1:13" ht="21.6" customHeight="1">
      <c r="A5" s="10" t="s">
        <v>332</v>
      </c>
      <c r="B5" s="10" t="s">
        <v>2</v>
      </c>
      <c r="C5" s="10" t="s">
        <v>333</v>
      </c>
      <c r="D5" s="10" t="s">
        <v>24</v>
      </c>
      <c r="E5" s="10" t="s">
        <v>30</v>
      </c>
      <c r="F5" s="10" t="s">
        <v>334</v>
      </c>
      <c r="G5" s="2"/>
      <c r="H5" s="10" t="s">
        <v>332</v>
      </c>
      <c r="I5" s="10" t="s">
        <v>2</v>
      </c>
      <c r="J5" s="10" t="s">
        <v>333</v>
      </c>
      <c r="K5" s="10" t="s">
        <v>24</v>
      </c>
      <c r="L5" s="10" t="s">
        <v>30</v>
      </c>
      <c r="M5" s="10" t="s">
        <v>334</v>
      </c>
    </row>
    <row r="6" spans="1:13" ht="14.4" customHeight="1">
      <c r="A6" s="2" t="s">
        <v>11</v>
      </c>
      <c r="B6" s="22">
        <v>982397</v>
      </c>
      <c r="C6" s="22">
        <v>-837328</v>
      </c>
      <c r="D6" s="22">
        <v>145069</v>
      </c>
      <c r="E6" s="22">
        <v>145069</v>
      </c>
      <c r="F6" s="6">
        <f t="shared" ref="F6:F12" si="0">B6/SUM($B$6:$B$11)</f>
        <v>0.21467415056605621</v>
      </c>
      <c r="G6" s="2"/>
      <c r="H6" s="2" t="s">
        <v>11</v>
      </c>
      <c r="I6" s="22">
        <v>941940</v>
      </c>
      <c r="J6" s="22">
        <v>-775152</v>
      </c>
      <c r="K6" s="22">
        <v>166788</v>
      </c>
      <c r="L6" s="22">
        <v>166788</v>
      </c>
      <c r="M6" s="6">
        <f t="shared" ref="M6:M12" si="1">I6/SUM($I$6:$I$11)</f>
        <v>0.20799066234672131</v>
      </c>
    </row>
    <row r="7" spans="1:13" ht="14.4" customHeight="1">
      <c r="A7" s="2" t="s">
        <v>19</v>
      </c>
      <c r="B7" s="22">
        <v>1042780</v>
      </c>
      <c r="C7" s="22">
        <v>-481233</v>
      </c>
      <c r="D7" s="22">
        <v>561547</v>
      </c>
      <c r="E7" s="22">
        <v>561547</v>
      </c>
      <c r="F7" s="6">
        <f t="shared" si="0"/>
        <v>0.22786909032424987</v>
      </c>
      <c r="G7" s="2"/>
      <c r="H7" s="2" t="s">
        <v>19</v>
      </c>
      <c r="I7" s="22">
        <v>968312</v>
      </c>
      <c r="J7" s="22">
        <v>-444904</v>
      </c>
      <c r="K7" s="22">
        <v>523408</v>
      </c>
      <c r="L7" s="22">
        <v>523408</v>
      </c>
      <c r="M7" s="6">
        <f t="shared" si="1"/>
        <v>0.21381388861103512</v>
      </c>
    </row>
    <row r="8" spans="1:13" ht="14.4" customHeight="1">
      <c r="A8" s="2" t="s">
        <v>23</v>
      </c>
      <c r="B8" s="22">
        <v>2288245</v>
      </c>
      <c r="C8" s="22">
        <v>-1684776</v>
      </c>
      <c r="D8" s="22">
        <v>603469</v>
      </c>
      <c r="E8" s="22">
        <v>603469</v>
      </c>
      <c r="F8" s="6">
        <f t="shared" si="0"/>
        <v>0.50002906326263752</v>
      </c>
      <c r="G8" s="2"/>
      <c r="H8" s="2" t="s">
        <v>23</v>
      </c>
      <c r="I8" s="22">
        <v>2241250</v>
      </c>
      <c r="J8" s="22">
        <v>-1666328</v>
      </c>
      <c r="K8" s="22">
        <v>574922</v>
      </c>
      <c r="L8" s="22">
        <v>574922</v>
      </c>
      <c r="M8" s="6">
        <f t="shared" si="1"/>
        <v>0.49489253241670295</v>
      </c>
    </row>
    <row r="9" spans="1:13" ht="14.4" customHeight="1">
      <c r="A9" s="2" t="s">
        <v>26</v>
      </c>
      <c r="B9" s="22">
        <v>75402</v>
      </c>
      <c r="C9" s="22">
        <v>-44810</v>
      </c>
      <c r="D9" s="22">
        <v>30592</v>
      </c>
      <c r="E9" s="22">
        <v>30592</v>
      </c>
      <c r="F9" s="6">
        <f t="shared" si="0"/>
        <v>1.6476903228513289E-2</v>
      </c>
      <c r="G9" s="2"/>
      <c r="H9" s="2" t="s">
        <v>26</v>
      </c>
      <c r="I9" s="22">
        <v>78155</v>
      </c>
      <c r="J9" s="22">
        <v>-47453</v>
      </c>
      <c r="K9" s="22">
        <v>30702</v>
      </c>
      <c r="L9" s="22">
        <v>30702</v>
      </c>
      <c r="M9" s="6">
        <f t="shared" si="1"/>
        <v>1.7257479473966501E-2</v>
      </c>
    </row>
    <row r="10" spans="1:13" ht="14.4" customHeight="1">
      <c r="A10" s="2" t="s">
        <v>29</v>
      </c>
      <c r="B10" s="22">
        <v>155507</v>
      </c>
      <c r="C10" s="22">
        <v>-143340</v>
      </c>
      <c r="D10" s="22">
        <v>12167</v>
      </c>
      <c r="E10" s="22">
        <v>12167</v>
      </c>
      <c r="F10" s="6">
        <f t="shared" si="0"/>
        <v>3.3981509646380949E-2</v>
      </c>
      <c r="G10" s="2"/>
      <c r="H10" s="2" t="s">
        <v>29</v>
      </c>
      <c r="I10" s="22">
        <v>270783</v>
      </c>
      <c r="J10" s="22">
        <v>-236390</v>
      </c>
      <c r="K10" s="22">
        <v>34393</v>
      </c>
      <c r="L10" s="22">
        <v>34393</v>
      </c>
      <c r="M10" s="6">
        <f t="shared" si="1"/>
        <v>5.9791850353772255E-2</v>
      </c>
    </row>
    <row r="11" spans="1:13" ht="14.4" customHeight="1">
      <c r="A11" s="2" t="s">
        <v>32</v>
      </c>
      <c r="B11" s="22">
        <v>31893</v>
      </c>
      <c r="C11" s="22">
        <v>-32137</v>
      </c>
      <c r="D11" s="22">
        <v>-244</v>
      </c>
      <c r="E11" s="22">
        <v>-244</v>
      </c>
      <c r="F11" s="6">
        <f t="shared" si="0"/>
        <v>6.9692829721622017E-3</v>
      </c>
      <c r="G11" s="2"/>
      <c r="H11" s="2" t="s">
        <v>32</v>
      </c>
      <c r="I11" s="22">
        <v>28321</v>
      </c>
      <c r="J11" s="22">
        <v>-31427</v>
      </c>
      <c r="K11" s="22">
        <v>-3106</v>
      </c>
      <c r="L11" s="22">
        <v>-3106</v>
      </c>
      <c r="M11" s="6">
        <f t="shared" si="1"/>
        <v>6.2535867978018708E-3</v>
      </c>
    </row>
    <row r="12" spans="1:13" ht="14.4" customHeight="1">
      <c r="A12" s="19" t="s">
        <v>335</v>
      </c>
      <c r="B12" s="23">
        <v>4576224</v>
      </c>
      <c r="C12" s="23">
        <v>-3223624</v>
      </c>
      <c r="D12" s="23">
        <v>1352600</v>
      </c>
      <c r="E12" s="23">
        <v>1352600</v>
      </c>
      <c r="F12" s="28">
        <f t="shared" si="0"/>
        <v>1</v>
      </c>
      <c r="G12" s="2"/>
      <c r="H12" s="19" t="s">
        <v>335</v>
      </c>
      <c r="I12" s="23">
        <v>4528761</v>
      </c>
      <c r="J12" s="23">
        <v>-3201654</v>
      </c>
      <c r="K12" s="23">
        <v>1327107</v>
      </c>
      <c r="L12" s="23">
        <v>1327107</v>
      </c>
      <c r="M12" s="28">
        <f t="shared" si="1"/>
        <v>1</v>
      </c>
    </row>
    <row r="13" spans="1:13" ht="14.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4.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8.45" customHeight="1">
      <c r="A15" s="32" t="s">
        <v>336</v>
      </c>
      <c r="B15" s="32"/>
      <c r="C15" s="32"/>
      <c r="D15" s="32"/>
      <c r="E15" s="8"/>
      <c r="F15" s="8"/>
      <c r="G15" s="2"/>
      <c r="H15" s="32" t="s">
        <v>337</v>
      </c>
      <c r="I15" s="32"/>
      <c r="J15" s="32"/>
      <c r="K15" s="32"/>
      <c r="L15" s="8"/>
      <c r="M15" s="8"/>
    </row>
    <row r="16" spans="1:13" ht="31.8" customHeight="1">
      <c r="A16" s="10" t="s">
        <v>338</v>
      </c>
      <c r="B16" s="10" t="s">
        <v>2</v>
      </c>
      <c r="C16" s="10" t="s">
        <v>145</v>
      </c>
      <c r="D16" s="10" t="s">
        <v>339</v>
      </c>
      <c r="E16" s="2"/>
      <c r="F16" s="2"/>
      <c r="G16" s="2"/>
      <c r="H16" s="10" t="s">
        <v>338</v>
      </c>
      <c r="I16" s="10" t="s">
        <v>2</v>
      </c>
      <c r="J16" s="10" t="s">
        <v>145</v>
      </c>
      <c r="K16" s="10" t="s">
        <v>339</v>
      </c>
      <c r="L16" s="2"/>
      <c r="M16" s="2"/>
    </row>
    <row r="17" spans="1:13" ht="14.4" customHeight="1">
      <c r="A17" s="2" t="s">
        <v>340</v>
      </c>
      <c r="B17" s="3">
        <v>161510</v>
      </c>
      <c r="C17" s="3">
        <v>6344271</v>
      </c>
      <c r="D17" s="6">
        <f t="shared" ref="D17:D22" si="2">B17/SUM($B$17:$B$21)</f>
        <v>3.5293289838958929E-2</v>
      </c>
      <c r="E17" s="2"/>
      <c r="F17" s="2"/>
      <c r="G17" s="2"/>
      <c r="H17" s="2" t="s">
        <v>340</v>
      </c>
      <c r="I17" s="3">
        <v>171551</v>
      </c>
      <c r="J17" s="3">
        <v>3654632</v>
      </c>
      <c r="K17" s="6">
        <f t="shared" ref="K17:K22" si="3">I17/SUM($I$17:$I$21)</f>
        <v>3.788033857383951E-2</v>
      </c>
      <c r="L17" s="2"/>
      <c r="M17" s="2"/>
    </row>
    <row r="18" spans="1:13" ht="14.4" customHeight="1">
      <c r="A18" s="2" t="s">
        <v>341</v>
      </c>
      <c r="B18" s="3">
        <v>188227</v>
      </c>
      <c r="C18" s="3">
        <v>8648</v>
      </c>
      <c r="D18" s="6">
        <f t="shared" si="2"/>
        <v>4.1131509296747713E-2</v>
      </c>
      <c r="E18" s="2"/>
      <c r="F18" s="2"/>
      <c r="G18" s="2"/>
      <c r="H18" s="2" t="s">
        <v>341</v>
      </c>
      <c r="I18" s="3">
        <v>240629</v>
      </c>
      <c r="J18" s="3">
        <v>9022</v>
      </c>
      <c r="K18" s="6">
        <f t="shared" si="3"/>
        <v>5.313351709220248E-2</v>
      </c>
      <c r="L18" s="2"/>
      <c r="M18" s="2"/>
    </row>
    <row r="19" spans="1:13" ht="14.4" customHeight="1">
      <c r="A19" s="2" t="s">
        <v>342</v>
      </c>
      <c r="B19" s="3">
        <v>655019</v>
      </c>
      <c r="C19" s="3">
        <v>58962</v>
      </c>
      <c r="D19" s="6">
        <f t="shared" si="2"/>
        <v>0.14313525736502408</v>
      </c>
      <c r="E19" s="2"/>
      <c r="F19" s="2"/>
      <c r="G19" s="2"/>
      <c r="H19" s="2" t="s">
        <v>342</v>
      </c>
      <c r="I19" s="3">
        <v>681607</v>
      </c>
      <c r="J19" s="3">
        <v>34348</v>
      </c>
      <c r="K19" s="6">
        <f t="shared" si="3"/>
        <v>0.15050628637722327</v>
      </c>
      <c r="L19" s="2"/>
      <c r="M19" s="2"/>
    </row>
    <row r="20" spans="1:13" ht="14.4" customHeight="1">
      <c r="A20" s="2" t="s">
        <v>343</v>
      </c>
      <c r="B20" s="3">
        <v>689366</v>
      </c>
      <c r="C20" s="3">
        <v>44534</v>
      </c>
      <c r="D20" s="6">
        <f t="shared" si="2"/>
        <v>0.15064079031096381</v>
      </c>
      <c r="E20" s="2"/>
      <c r="F20" s="2"/>
      <c r="G20" s="2"/>
      <c r="H20" s="2" t="s">
        <v>343</v>
      </c>
      <c r="I20" s="3">
        <v>689794</v>
      </c>
      <c r="J20" s="3">
        <v>38543</v>
      </c>
      <c r="K20" s="6">
        <f t="shared" si="3"/>
        <v>0.15231406559100821</v>
      </c>
      <c r="L20" s="2"/>
      <c r="M20" s="2"/>
    </row>
    <row r="21" spans="1:13" ht="14.4" customHeight="1">
      <c r="A21" s="2" t="s">
        <v>344</v>
      </c>
      <c r="B21" s="3">
        <v>2882102</v>
      </c>
      <c r="C21" s="3">
        <v>1952968</v>
      </c>
      <c r="D21" s="6">
        <f t="shared" si="2"/>
        <v>0.62979915318830548</v>
      </c>
      <c r="E21" s="2"/>
      <c r="F21" s="2"/>
      <c r="G21" s="2"/>
      <c r="H21" s="2" t="s">
        <v>344</v>
      </c>
      <c r="I21" s="3">
        <v>2745180</v>
      </c>
      <c r="J21" s="3">
        <v>1900046</v>
      </c>
      <c r="K21" s="6">
        <f t="shared" si="3"/>
        <v>0.60616579236572654</v>
      </c>
      <c r="L21" s="2"/>
      <c r="M21" s="2"/>
    </row>
    <row r="22" spans="1:13" ht="14.4" customHeight="1">
      <c r="A22" s="19" t="s">
        <v>335</v>
      </c>
      <c r="B22" s="29">
        <v>4576224</v>
      </c>
      <c r="C22" s="29">
        <v>8409383</v>
      </c>
      <c r="D22" s="28">
        <f t="shared" si="2"/>
        <v>1</v>
      </c>
      <c r="E22" s="19"/>
      <c r="F22" s="19"/>
      <c r="G22" s="2"/>
      <c r="H22" s="19" t="s">
        <v>335</v>
      </c>
      <c r="I22" s="29">
        <v>4528761</v>
      </c>
      <c r="J22" s="29">
        <v>5636591</v>
      </c>
      <c r="K22" s="28">
        <f t="shared" si="3"/>
        <v>1</v>
      </c>
      <c r="L22" s="19"/>
      <c r="M22" s="19"/>
    </row>
  </sheetData>
  <mergeCells count="6">
    <mergeCell ref="A1:M1"/>
    <mergeCell ref="A2:M2"/>
    <mergeCell ref="A4:F4"/>
    <mergeCell ref="H4:M4"/>
    <mergeCell ref="A15:D15"/>
    <mergeCell ref="H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EEFF</vt:lpstr>
      <vt:lpstr>NotasClave</vt:lpstr>
      <vt:lpstr>Segmentos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Sanhueza</dc:creator>
  <cp:lastModifiedBy>Manuel Cespedes Araya (Alumno)</cp:lastModifiedBy>
  <dcterms:created xsi:type="dcterms:W3CDTF">2026-05-01T03:49:36Z</dcterms:created>
  <dcterms:modified xsi:type="dcterms:W3CDTF">2026-05-01T04:48:38Z</dcterms:modified>
</cp:coreProperties>
</file>