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ndres/Downloads/"/>
    </mc:Choice>
  </mc:AlternateContent>
  <xr:revisionPtr revIDLastSave="0" documentId="13_ncr:1_{9B29B97D-08B9-A148-87CF-717B0649925D}" xr6:coauthVersionLast="36" xr6:coauthVersionMax="36" xr10:uidLastSave="{00000000-0000-0000-0000-000000000000}"/>
  <bookViews>
    <workbookView xWindow="-22560" yWindow="-21600" windowWidth="38400" windowHeight="21600" xr2:uid="{00000000-000D-0000-FFFF-FFFF00000000}"/>
  </bookViews>
  <sheets>
    <sheet name="Planificación" sheetId="1" r:id="rId1"/>
    <sheet name="Resumen" sheetId="2" r:id="rId2"/>
    <sheet name="Referencias" sheetId="3" r:id="rId3"/>
  </sheets>
  <calcPr calcId="162913"/>
</workbook>
</file>

<file path=xl/calcChain.xml><?xml version="1.0" encoding="utf-8"?>
<calcChain xmlns="http://schemas.openxmlformats.org/spreadsheetml/2006/main">
  <c r="E9" i="2" l="1"/>
  <c r="C9" i="2"/>
  <c r="D9" i="2" s="1"/>
  <c r="E8" i="2"/>
  <c r="D8" i="2"/>
  <c r="C8" i="2"/>
  <c r="C7" i="2"/>
  <c r="E7" i="2" s="1"/>
  <c r="C6" i="2"/>
  <c r="E6" i="2" s="1"/>
  <c r="E5" i="2"/>
  <c r="C5" i="2"/>
  <c r="D5" i="2" s="1"/>
  <c r="E4" i="2"/>
  <c r="D4" i="2"/>
  <c r="C4" i="2"/>
  <c r="C3" i="2"/>
  <c r="E3" i="2" s="1"/>
  <c r="C2" i="2"/>
  <c r="E2" i="2" s="1"/>
  <c r="D3" i="2" l="1"/>
  <c r="D7" i="2"/>
  <c r="C11" i="2"/>
  <c r="D2" i="2"/>
  <c r="D6" i="2"/>
  <c r="E11" i="2" l="1"/>
  <c r="D11" i="2"/>
</calcChain>
</file>

<file path=xl/sharedStrings.xml><?xml version="1.0" encoding="utf-8"?>
<sst xmlns="http://schemas.openxmlformats.org/spreadsheetml/2006/main" count="486" uniqueCount="202">
  <si>
    <t>Clase</t>
  </si>
  <si>
    <t>Nombre clase</t>
  </si>
  <si>
    <t>Ejercicio</t>
  </si>
  <si>
    <t>Actividad / título</t>
  </si>
  <si>
    <t>Tipo</t>
  </si>
  <si>
    <t>Inicio</t>
  </si>
  <si>
    <t>Término</t>
  </si>
  <si>
    <t>Duración min</t>
  </si>
  <si>
    <t>Herramientas / conceptos</t>
  </si>
  <si>
    <t>Contexto y marco de trabajo</t>
  </si>
  <si>
    <t>Inicio y presentación: contexto del curso, objetivos, expectativas y reglas de trabajo</t>
  </si>
  <si>
    <t>00:00</t>
  </si>
  <si>
    <t>00:20</t>
  </si>
  <si>
    <t>Objetivo general: aplicar IA al desarrollo de software para acelerar construcción, automatización, testing y diseño de agentes en Anagra</t>
  </si>
  <si>
    <t>Teoría aplicada</t>
  </si>
  <si>
    <t>00:30</t>
  </si>
  <si>
    <t>Panorama actual de IA aplicada al desarrollo: herramientas, modelos y tendencias recientes</t>
  </si>
  <si>
    <t>00:35</t>
  </si>
  <si>
    <t>Claude / OpenAI / Copilot</t>
  </si>
  <si>
    <t>Metodología para programar con IA: de prompting a Context Engineering y Spec-Driven Development</t>
  </si>
  <si>
    <t>00:40</t>
  </si>
  <si>
    <t>SDD / Context Engineering</t>
  </si>
  <si>
    <t>Demostración 1: asistentes de código en IDE</t>
  </si>
  <si>
    <t>Demostración</t>
  </si>
  <si>
    <t>00:55</t>
  </si>
  <si>
    <t>Claude Code / Codex / Copilot / Cursor</t>
  </si>
  <si>
    <t>Demostración 2: n8n generando flujos con IA y primer vistazo a MCP nativo</t>
  </si>
  <si>
    <t>01:10</t>
  </si>
  <si>
    <t>n8n / MCP</t>
  </si>
  <si>
    <t>Demostración 3: uso de agentes para control de una empresa</t>
  </si>
  <si>
    <t>01:25</t>
  </si>
  <si>
    <t>Agentes / n8n / IA</t>
  </si>
  <si>
    <t>Cierre y preguntas</t>
  </si>
  <si>
    <t>Preguntas alumnos</t>
  </si>
  <si>
    <t>01:30</t>
  </si>
  <si>
    <t>Herramientas modernas y desarrollo asistido por IA</t>
  </si>
  <si>
    <t>Apertura: tendencia actual de asistentes de código integrados al IDE</t>
  </si>
  <si>
    <t>00:05</t>
  </si>
  <si>
    <t>2.1</t>
  </si>
  <si>
    <t>Ejercicio 2.1: explicación — desarrollo asistido con Claude Code en el IDE</t>
  </si>
  <si>
    <t>Ejercicio - explicación</t>
  </si>
  <si>
    <t>00:10</t>
  </si>
  <si>
    <t>Claude Code</t>
  </si>
  <si>
    <t>Ejercicio 2.1: demostración profesor — crear o modificar una funcionalidad con IA</t>
  </si>
  <si>
    <t>Ejercicio - demo profesor</t>
  </si>
  <si>
    <t>Ejercicio 2.1: práctica alumnos — desarrollo asistido sobre caso guiado</t>
  </si>
  <si>
    <t>Ejercicio - práctica alumnos</t>
  </si>
  <si>
    <t>2.2</t>
  </si>
  <si>
    <t>Ejercicio 2.2: explicación — refactor, debugging y documentación con Codex</t>
  </si>
  <si>
    <t>Codex</t>
  </si>
  <si>
    <t>Ejercicio 2.2: demostración profesor — análisis y mejora de código existente</t>
  </si>
  <si>
    <t>00:45</t>
  </si>
  <si>
    <t>Ejercicio 2.2: práctica alumnos — refactor o debugging asistido</t>
  </si>
  <si>
    <t>2.3</t>
  </si>
  <si>
    <t>Ejercicio 2.3: explicación — uso de Copilot/Cursor en flujo real de trabajo</t>
  </si>
  <si>
    <t>01:00</t>
  </si>
  <si>
    <t>Copilot / Cursor</t>
  </si>
  <si>
    <t>Ejercicio 2.3: demostración profesor — asistencia en IDE, sugerencias y pruebas</t>
  </si>
  <si>
    <t>Ejercicio 2.3: práctica alumnos — uso asistido en entorno de desarrollo</t>
  </si>
  <si>
    <t>01:20</t>
  </si>
  <si>
    <t>Resolver dudas</t>
  </si>
  <si>
    <t>Automatización con n8n y MCP</t>
  </si>
  <si>
    <t>Apertura: de asistentes de código a automatización de procesos</t>
  </si>
  <si>
    <t>00:08</t>
  </si>
  <si>
    <t>n8n / Make / MCP</t>
  </si>
  <si>
    <t>Demo inicial: n8n como cliente/servidor MCP y generación de workflows con IA</t>
  </si>
  <si>
    <t>n8n MCP Server / MCP Client Tool</t>
  </si>
  <si>
    <t>3.1</t>
  </si>
  <si>
    <t>Ejercicio 3.1: explicación — creación de workflow con IA en n8n</t>
  </si>
  <si>
    <t>00:25</t>
  </si>
  <si>
    <t>n8n</t>
  </si>
  <si>
    <t>Ejercicio 3.1: demostración profesor — generar un flujo automatizado con IA</t>
  </si>
  <si>
    <t>00:33</t>
  </si>
  <si>
    <t>Ejercicio 3.1: práctica alumnos — creación de flujo guiado</t>
  </si>
  <si>
    <t>00:43</t>
  </si>
  <si>
    <t>3.2</t>
  </si>
  <si>
    <t>Ejercicio 3.2: explicación — webhooks, APIs y conexión entre herramientas</t>
  </si>
  <si>
    <t>00:48</t>
  </si>
  <si>
    <t>n8n / APIs</t>
  </si>
  <si>
    <t>Ejercicio 3.2: demostración profesor — integración simple entre sistemas</t>
  </si>
  <si>
    <t>00:58</t>
  </si>
  <si>
    <t>Ejercicio 3.2: práctica alumnos — conectar servicios y procesar información</t>
  </si>
  <si>
    <t>01:08</t>
  </si>
  <si>
    <t>3.3</t>
  </si>
  <si>
    <t>Ejercicio 3.3: explicación — IA dentro de un flujo automatizado y herramientas MCP</t>
  </si>
  <si>
    <t>01:12</t>
  </si>
  <si>
    <t>n8n / IA / MCP</t>
  </si>
  <si>
    <t>Ejercicio 3.3: demostración profesor — clasificar, generar respuesta o notificar con IA</t>
  </si>
  <si>
    <t>n8n / IA</t>
  </si>
  <si>
    <t>Ejercicio 3.3: práctica alumnos — automatización aplicada a caso guiado</t>
  </si>
  <si>
    <t>Cierre: dudas y aprendizajes de automatización</t>
  </si>
  <si>
    <t>Cierre</t>
  </si>
  <si>
    <t>Context Engineering y Spec-Driven Development</t>
  </si>
  <si>
    <t>Apertura: de prompts sueltos a especificaciones claras para programar con IA</t>
  </si>
  <si>
    <t>4.1</t>
  </si>
  <si>
    <t>Ejercicio 4.1: explicación — diseño de contexto efectivo para asistentes de código</t>
  </si>
  <si>
    <t>00:13</t>
  </si>
  <si>
    <t>Claude Code / Codex</t>
  </si>
  <si>
    <t>Ejercicio 4.1: demostración profesor — mejorar resultados usando contexto estructurado</t>
  </si>
  <si>
    <t>Claude / ChatGPT</t>
  </si>
  <si>
    <t>Ejercicio 4.1: práctica alumnos — construir contexto para un caso técnico</t>
  </si>
  <si>
    <t>00:32</t>
  </si>
  <si>
    <t>4.2</t>
  </si>
  <si>
    <t>Ejercicio 4.2: explicación — Spec-Driven Development y flujo tipo spec-kit</t>
  </si>
  <si>
    <t>00:42</t>
  </si>
  <si>
    <t>Spec Kit / SDD</t>
  </si>
  <si>
    <t>Ejercicio 4.2: demostración profesor — idea → constitución → spec → plan técnico → tareas</t>
  </si>
  <si>
    <t>00:52</t>
  </si>
  <si>
    <t>Spec Kit / Claude Code</t>
  </si>
  <si>
    <t>Ejercicio 4.2: práctica alumnos — convertir una idea en especificación accionable</t>
  </si>
  <si>
    <t>01:07</t>
  </si>
  <si>
    <t>SDD</t>
  </si>
  <si>
    <t>4.3</t>
  </si>
  <si>
    <t>Ejercicio 4.3: explicación — memoria, tokens, latencia y costo</t>
  </si>
  <si>
    <t>Claude / OpenAI</t>
  </si>
  <si>
    <t>Ejercicio 4.3: práctica alumnos — ajustar contexto/spec para mejorar precisión y eficiencia</t>
  </si>
  <si>
    <t>Cierre: criterios para pasar de spec a agentes</t>
  </si>
  <si>
    <t>Construcción de agente básico con MCP</t>
  </si>
  <si>
    <t>Apertura: qué es MCP y cómo conecta agentes con herramientas, datos y sistemas</t>
  </si>
  <si>
    <t>MCP / Agentes</t>
  </si>
  <si>
    <t>5.1</t>
  </si>
  <si>
    <t>Ejercicio 5.1: explicación — estructura básica de un agente con MCP desde una especificación</t>
  </si>
  <si>
    <t>00:15</t>
  </si>
  <si>
    <t>MCP / SDD</t>
  </si>
  <si>
    <t>Ejercicio 5.1: demostración profesor — agente básico con instrucciones, contexto y objetivo</t>
  </si>
  <si>
    <t>MCP / Claude</t>
  </si>
  <si>
    <t>Ejercicio 5.1: práctica alumnos — diseño inicial de agente básico</t>
  </si>
  <si>
    <t>00:38</t>
  </si>
  <si>
    <t>5.2</t>
  </si>
  <si>
    <t>Ejercicio 5.2: explicación — diseño de herramientas para agentes: nombre, schema, inputs, outputs y límites</t>
  </si>
  <si>
    <t>Tool design / MCP</t>
  </si>
  <si>
    <t>Ejercicio 5.2: demostración profesor — herramienta simple expuesta al agente</t>
  </si>
  <si>
    <t>MCP / APIs</t>
  </si>
  <si>
    <t>Ejercicio 5.2: práctica alumnos — definir una herramienta usable por el agente</t>
  </si>
  <si>
    <t>5.3</t>
  </si>
  <si>
    <t>Ejercicio 5.3: práctica alumnos — prueba y mejora del agente básico</t>
  </si>
  <si>
    <t>Cierre: dudas y aprendizajes del agente básico</t>
  </si>
  <si>
    <t>MCP y orquestación multiagente</t>
  </si>
  <si>
    <t>Apertura: de un agente básico a sistemas multiagente</t>
  </si>
  <si>
    <t>MCP / Multiagentes</t>
  </si>
  <si>
    <t>6.1</t>
  </si>
  <si>
    <t>Ejercicio 6.1: explicación — roles, responsabilidades y límites entre agentes</t>
  </si>
  <si>
    <t>Multiagentes</t>
  </si>
  <si>
    <t>Ejercicio 6.1: demostración profesor — agente coordinador y agente ejecutor</t>
  </si>
  <si>
    <t>Ejercicio 6.1: práctica alumnos — diseñar arquitectura multiagente simple</t>
  </si>
  <si>
    <t>6.2</t>
  </si>
  <si>
    <t>Ejercicio 6.2: explicación — integración con herramientas, sistemas y flujos</t>
  </si>
  <si>
    <t>MCP / APIs / n8n</t>
  </si>
  <si>
    <t>Ejercicio 6.2: demostración profesor — agente usando herramientas externas</t>
  </si>
  <si>
    <t>Ejercicio 6.2: práctica alumnos — flujo multiagente aplicado a un caso técnico</t>
  </si>
  <si>
    <t>6.3</t>
  </si>
  <si>
    <t>Ejercicio 6.3: evaluación, observabilidad y seguridad en agentes/MCP</t>
  </si>
  <si>
    <t>Evaluación / Seguridad / Observabilidad</t>
  </si>
  <si>
    <t>Ejercicio 6.3: práctica alumnos — ajuste, trazabilidad y validación del flujo multiagente</t>
  </si>
  <si>
    <t>01:27</t>
  </si>
  <si>
    <t>Cierre: criterios para proyecto aplicado</t>
  </si>
  <si>
    <t>Resumen, preguntas y proyecto aplicado</t>
  </si>
  <si>
    <t>Resumen del curso: desarrollo asistido, automatización, SDD, MCP, agentes y multiagentes</t>
  </si>
  <si>
    <t>Resumen</t>
  </si>
  <si>
    <t>Preguntas abiertas y reforzamiento de conceptos</t>
  </si>
  <si>
    <t>Criterios de calidad, seguridad, evaluación y observabilidad para proyectos con IA</t>
  </si>
  <si>
    <t>00:50</t>
  </si>
  <si>
    <t>Seguridad / Evaluación / Observabilidad</t>
  </si>
  <si>
    <t>Presentación del proyecto aplicado: objetivo, formato, criterios y entregable esperado</t>
  </si>
  <si>
    <t>Proyecto aplicado</t>
  </si>
  <si>
    <t>01:05</t>
  </si>
  <si>
    <t>Trabajo guiado por equipos: definición del caso, alcance y solución propuesta</t>
  </si>
  <si>
    <t>Cierre y preparación para presentaciones finales</t>
  </si>
  <si>
    <t>Presentaciones y proyectos de alumnos</t>
  </si>
  <si>
    <t>Presentaciones finales de proyectos aplicados</t>
  </si>
  <si>
    <t>Presentación alumnos</t>
  </si>
  <si>
    <t>Feedback del profesor y comentarios cruzados</t>
  </si>
  <si>
    <t>Feedback</t>
  </si>
  <si>
    <t>Cierre del curso: aprendizajes, oportunidades y próximos pasos para Anagra</t>
  </si>
  <si>
    <t>Minutos planificados</t>
  </si>
  <si>
    <t>Horas</t>
  </si>
  <si>
    <t>Estado</t>
  </si>
  <si>
    <t>Total curso</t>
  </si>
  <si>
    <t>Tema</t>
  </si>
  <si>
    <t>Fuente / URL</t>
  </si>
  <si>
    <t>Uso en planificación</t>
  </si>
  <si>
    <t>Temario base Anagra</t>
  </si>
  <si>
    <t>PDF cargado en la conversación: Anagra_Temario_IA_Aplicada_Desarrollo_Software</t>
  </si>
  <si>
    <t>Base de módulos, duración total y enfoque del curso.</t>
  </si>
  <si>
    <t>n8n MCP Server</t>
  </si>
  <si>
    <t>https://blog.n8n.io/n8n-mcp-server/</t>
  </si>
  <si>
    <t>Clase 1 y 3: demo de n8n con MCP nativo y generación de workflows con IA.</t>
  </si>
  <si>
    <t>n8n MCP Client Tool</t>
  </si>
  <si>
    <t>https://docs.n8n.io/integrations/builtin/cluster-nodes/sub-nodes/n8n-nodes-langchain.toolmcp/</t>
  </si>
  <si>
    <t>Clase 3: n8n como cliente MCP conectado a herramientas externas.</t>
  </si>
  <si>
    <t>n8n MCP Server Trigger</t>
  </si>
  <si>
    <t>https://docs.n8n.io/integrations/builtin/core-nodes/n8n-nodes-langchain.mcptrigger/</t>
  </si>
  <si>
    <t>Clase 3: n8n como servidor MCP que expone herramientas a clientes MCP.</t>
  </si>
  <si>
    <t>GitHub Spec Kit</t>
  </si>
  <si>
    <t>https://github.com/github/spec-kit</t>
  </si>
  <si>
    <t>Clase 4: Spec-Driven Development como metodología de trabajo.</t>
  </si>
  <si>
    <t>GitHub blog Spec-Driven Development</t>
  </si>
  <si>
    <t>https://github.blog/ai-and-ml/generative-ai/spec-driven-development-with-ai-get-started-with-a-new-open-source-toolkit/</t>
  </si>
  <si>
    <t>Clase 4: flujo de spec → plan técnico → tareas con agentes de código.</t>
  </si>
  <si>
    <t>Model Context Protocol</t>
  </si>
  <si>
    <t>https://modelcontextprotocol.io/specification/2025-11-25</t>
  </si>
  <si>
    <t>Clases 5 y 6: diseño de agentes, MCP, seguridad y herramientas.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</si>
</sst>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wrapText="1"/>
    </xf>
    <xf numFmtId="2" fontId="0" fillId="0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ificacionAnagra" displayName="PlanificacionAnagra" ref="A1:I70">
  <tableColumns count="9">
    <tableColumn id="1" xr3:uid="{00000000-0010-0000-0000-000001000000}" name="Clase"/>
    <tableColumn id="2" xr3:uid="{00000000-0010-0000-0000-000002000000}" name="Nombre clase"/>
    <tableColumn id="3" xr3:uid="{00000000-0010-0000-0000-000003000000}" name="Ejercicio"/>
    <tableColumn id="4" xr3:uid="{00000000-0010-0000-0000-000004000000}" name="Actividad / título"/>
    <tableColumn id="5" xr3:uid="{00000000-0010-0000-0000-000005000000}" name="Tipo"/>
    <tableColumn id="6" xr3:uid="{00000000-0010-0000-0000-000006000000}" name="Inicio"/>
    <tableColumn id="7" xr3:uid="{00000000-0010-0000-0000-000007000000}" name="Término"/>
    <tableColumn id="8" xr3:uid="{00000000-0010-0000-0000-000008000000}" name="Duración min"/>
    <tableColumn id="9" xr3:uid="{00000000-0010-0000-0000-000009000000}" name="Herramientas / concept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lases" displayName="ResumenClases" ref="A1:E9">
  <tableColumns count="5">
    <tableColumn id="1" xr3:uid="{00000000-0010-0000-0100-000001000000}" name="Clase"/>
    <tableColumn id="2" xr3:uid="{00000000-0010-0000-0100-000002000000}" name="Nombre clase"/>
    <tableColumn id="3" xr3:uid="{00000000-0010-0000-0100-000003000000}" name="Minutos planificados"/>
    <tableColumn id="4" xr3:uid="{00000000-0010-0000-0100-000004000000}" name="Horas"/>
    <tableColumn id="5" xr3:uid="{00000000-0010-0000-0100-000005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erencias" displayName="Referencias" ref="A1:C8">
  <tableColumns count="3">
    <tableColumn id="1" xr3:uid="{00000000-0010-0000-0200-000001000000}" name="Tema"/>
    <tableColumn id="2" xr3:uid="{00000000-0010-0000-0200-000002000000}" name="Fuente / URL"/>
    <tableColumn id="3" xr3:uid="{00000000-0010-0000-0200-000003000000}" name="Uso en plan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21" workbookViewId="0">
      <selection activeCell="C62" sqref="C62"/>
    </sheetView>
  </sheetViews>
  <sheetFormatPr baseColWidth="10" defaultColWidth="8.83203125" defaultRowHeight="14"/>
  <cols>
    <col min="1" max="1" width="8" customWidth="1"/>
    <col min="2" max="2" width="46.5" customWidth="1"/>
    <col min="3" max="3" width="10" customWidth="1"/>
    <col min="4" max="4" width="120.83203125" customWidth="1"/>
    <col min="5" max="5" width="45" customWidth="1"/>
    <col min="6" max="7" width="10" customWidth="1"/>
    <col min="8" max="8" width="12" customWidth="1"/>
    <col min="9" max="9" width="44.5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4">
        <v>1</v>
      </c>
      <c r="B2" s="3" t="s">
        <v>9</v>
      </c>
      <c r="C2" s="4"/>
      <c r="D2" s="3" t="s">
        <v>10</v>
      </c>
      <c r="E2" s="3" t="s">
        <v>5</v>
      </c>
      <c r="F2" s="4" t="s">
        <v>11</v>
      </c>
      <c r="G2" s="4" t="s">
        <v>12</v>
      </c>
      <c r="H2" s="5">
        <v>20</v>
      </c>
      <c r="I2" s="3"/>
    </row>
    <row r="3" spans="1:9" ht="15">
      <c r="A3" s="4">
        <v>1</v>
      </c>
      <c r="B3" s="3" t="s">
        <v>9</v>
      </c>
      <c r="C3" s="4"/>
      <c r="D3" s="3" t="s">
        <v>13</v>
      </c>
      <c r="E3" s="3" t="s">
        <v>14</v>
      </c>
      <c r="F3" s="4" t="s">
        <v>12</v>
      </c>
      <c r="G3" s="4" t="s">
        <v>15</v>
      </c>
      <c r="H3" s="5">
        <v>10</v>
      </c>
      <c r="I3" s="3"/>
    </row>
    <row r="4" spans="1:9" ht="15">
      <c r="A4" s="4">
        <v>1</v>
      </c>
      <c r="B4" s="3" t="s">
        <v>9</v>
      </c>
      <c r="C4" s="4"/>
      <c r="D4" s="3" t="s">
        <v>16</v>
      </c>
      <c r="E4" s="3" t="s">
        <v>14</v>
      </c>
      <c r="F4" s="4" t="s">
        <v>15</v>
      </c>
      <c r="G4" s="4" t="s">
        <v>17</v>
      </c>
      <c r="H4" s="5">
        <v>5</v>
      </c>
      <c r="I4" s="3" t="s">
        <v>18</v>
      </c>
    </row>
    <row r="5" spans="1:9" ht="15">
      <c r="A5" s="4">
        <v>1</v>
      </c>
      <c r="B5" s="3" t="s">
        <v>9</v>
      </c>
      <c r="C5" s="4"/>
      <c r="D5" s="3" t="s">
        <v>19</v>
      </c>
      <c r="E5" s="3" t="s">
        <v>14</v>
      </c>
      <c r="F5" s="4" t="s">
        <v>17</v>
      </c>
      <c r="G5" s="4" t="s">
        <v>20</v>
      </c>
      <c r="H5" s="5">
        <v>5</v>
      </c>
      <c r="I5" s="3" t="s">
        <v>21</v>
      </c>
    </row>
    <row r="6" spans="1:9" ht="15">
      <c r="A6" s="4">
        <v>1</v>
      </c>
      <c r="B6" s="3" t="s">
        <v>9</v>
      </c>
      <c r="C6" s="4"/>
      <c r="D6" s="3" t="s">
        <v>22</v>
      </c>
      <c r="E6" s="3" t="s">
        <v>23</v>
      </c>
      <c r="F6" s="4" t="s">
        <v>20</v>
      </c>
      <c r="G6" s="4" t="s">
        <v>24</v>
      </c>
      <c r="H6" s="5">
        <v>15</v>
      </c>
      <c r="I6" s="3" t="s">
        <v>25</v>
      </c>
    </row>
    <row r="7" spans="1:9" ht="15">
      <c r="A7" s="4">
        <v>1</v>
      </c>
      <c r="B7" s="3" t="s">
        <v>9</v>
      </c>
      <c r="C7" s="4"/>
      <c r="D7" s="3" t="s">
        <v>26</v>
      </c>
      <c r="E7" s="3" t="s">
        <v>23</v>
      </c>
      <c r="F7" s="4" t="s">
        <v>24</v>
      </c>
      <c r="G7" s="4" t="s">
        <v>27</v>
      </c>
      <c r="H7" s="5">
        <v>15</v>
      </c>
      <c r="I7" s="3" t="s">
        <v>28</v>
      </c>
    </row>
    <row r="8" spans="1:9" ht="15">
      <c r="A8" s="4">
        <v>1</v>
      </c>
      <c r="B8" s="3" t="s">
        <v>9</v>
      </c>
      <c r="C8" s="4"/>
      <c r="D8" s="3" t="s">
        <v>29</v>
      </c>
      <c r="E8" s="3" t="s">
        <v>23</v>
      </c>
      <c r="F8" s="4" t="s">
        <v>27</v>
      </c>
      <c r="G8" s="4" t="s">
        <v>30</v>
      </c>
      <c r="H8" s="5">
        <v>15</v>
      </c>
      <c r="I8" s="3" t="s">
        <v>31</v>
      </c>
    </row>
    <row r="9" spans="1:9" ht="15">
      <c r="A9" s="4">
        <v>1</v>
      </c>
      <c r="B9" s="3" t="s">
        <v>9</v>
      </c>
      <c r="C9" s="4"/>
      <c r="D9" s="3" t="s">
        <v>32</v>
      </c>
      <c r="E9" s="3" t="s">
        <v>33</v>
      </c>
      <c r="F9" s="4" t="s">
        <v>30</v>
      </c>
      <c r="G9" s="4" t="s">
        <v>34</v>
      </c>
      <c r="H9" s="5">
        <v>5</v>
      </c>
      <c r="I9" s="3"/>
    </row>
    <row r="10" spans="1:9" ht="15">
      <c r="A10" s="4">
        <v>2</v>
      </c>
      <c r="B10" s="3" t="s">
        <v>35</v>
      </c>
      <c r="C10" s="4"/>
      <c r="D10" s="3" t="s">
        <v>36</v>
      </c>
      <c r="E10" s="3" t="s">
        <v>5</v>
      </c>
      <c r="F10" s="4" t="s">
        <v>11</v>
      </c>
      <c r="G10" s="4" t="s">
        <v>37</v>
      </c>
      <c r="H10" s="5">
        <v>5</v>
      </c>
      <c r="I10" s="3" t="s">
        <v>25</v>
      </c>
    </row>
    <row r="11" spans="1:9" ht="15">
      <c r="A11" s="4">
        <v>2</v>
      </c>
      <c r="B11" s="3" t="s">
        <v>35</v>
      </c>
      <c r="C11" s="4" t="s">
        <v>38</v>
      </c>
      <c r="D11" s="3" t="s">
        <v>39</v>
      </c>
      <c r="E11" s="3" t="s">
        <v>40</v>
      </c>
      <c r="F11" s="4" t="s">
        <v>37</v>
      </c>
      <c r="G11" s="4" t="s">
        <v>41</v>
      </c>
      <c r="H11" s="5">
        <v>5</v>
      </c>
      <c r="I11" s="3" t="s">
        <v>42</v>
      </c>
    </row>
    <row r="12" spans="1:9" ht="15">
      <c r="A12" s="4">
        <v>2</v>
      </c>
      <c r="B12" s="3" t="s">
        <v>35</v>
      </c>
      <c r="C12" s="4" t="s">
        <v>38</v>
      </c>
      <c r="D12" s="3" t="s">
        <v>43</v>
      </c>
      <c r="E12" s="3" t="s">
        <v>44</v>
      </c>
      <c r="F12" s="4" t="s">
        <v>41</v>
      </c>
      <c r="G12" s="4" t="s">
        <v>12</v>
      </c>
      <c r="H12" s="5">
        <v>10</v>
      </c>
      <c r="I12" s="3" t="s">
        <v>42</v>
      </c>
    </row>
    <row r="13" spans="1:9" ht="15">
      <c r="A13" s="4">
        <v>2</v>
      </c>
      <c r="B13" s="3" t="s">
        <v>35</v>
      </c>
      <c r="C13" s="4" t="s">
        <v>38</v>
      </c>
      <c r="D13" s="3" t="s">
        <v>45</v>
      </c>
      <c r="E13" s="3" t="s">
        <v>46</v>
      </c>
      <c r="F13" s="4" t="s">
        <v>12</v>
      </c>
      <c r="G13" s="4" t="s">
        <v>15</v>
      </c>
      <c r="H13" s="5">
        <v>10</v>
      </c>
      <c r="I13" s="3" t="s">
        <v>42</v>
      </c>
    </row>
    <row r="14" spans="1:9" ht="15">
      <c r="A14" s="4">
        <v>2</v>
      </c>
      <c r="B14" s="3" t="s">
        <v>35</v>
      </c>
      <c r="C14" s="4" t="s">
        <v>47</v>
      </c>
      <c r="D14" s="3" t="s">
        <v>48</v>
      </c>
      <c r="E14" s="3" t="s">
        <v>40</v>
      </c>
      <c r="F14" s="4" t="s">
        <v>15</v>
      </c>
      <c r="G14" s="4" t="s">
        <v>17</v>
      </c>
      <c r="H14" s="5">
        <v>5</v>
      </c>
      <c r="I14" s="3" t="s">
        <v>49</v>
      </c>
    </row>
    <row r="15" spans="1:9" ht="15">
      <c r="A15" s="4">
        <v>2</v>
      </c>
      <c r="B15" s="3" t="s">
        <v>35</v>
      </c>
      <c r="C15" s="4" t="s">
        <v>47</v>
      </c>
      <c r="D15" s="3" t="s">
        <v>50</v>
      </c>
      <c r="E15" s="3" t="s">
        <v>44</v>
      </c>
      <c r="F15" s="4" t="s">
        <v>17</v>
      </c>
      <c r="G15" s="4" t="s">
        <v>51</v>
      </c>
      <c r="H15" s="5">
        <v>10</v>
      </c>
      <c r="I15" s="3" t="s">
        <v>49</v>
      </c>
    </row>
    <row r="16" spans="1:9" ht="15">
      <c r="A16" s="4">
        <v>2</v>
      </c>
      <c r="B16" s="3" t="s">
        <v>35</v>
      </c>
      <c r="C16" s="4" t="s">
        <v>47</v>
      </c>
      <c r="D16" s="3" t="s">
        <v>52</v>
      </c>
      <c r="E16" s="3" t="s">
        <v>46</v>
      </c>
      <c r="F16" s="4" t="s">
        <v>51</v>
      </c>
      <c r="G16" s="4" t="s">
        <v>24</v>
      </c>
      <c r="H16" s="5">
        <v>10</v>
      </c>
      <c r="I16" s="3" t="s">
        <v>49</v>
      </c>
    </row>
    <row r="17" spans="1:9" ht="15">
      <c r="A17" s="4">
        <v>2</v>
      </c>
      <c r="B17" s="3" t="s">
        <v>35</v>
      </c>
      <c r="C17" s="4" t="s">
        <v>53</v>
      </c>
      <c r="D17" s="3" t="s">
        <v>54</v>
      </c>
      <c r="E17" s="3" t="s">
        <v>40</v>
      </c>
      <c r="F17" s="4" t="s">
        <v>24</v>
      </c>
      <c r="G17" s="4" t="s">
        <v>55</v>
      </c>
      <c r="H17" s="5">
        <v>5</v>
      </c>
      <c r="I17" s="3" t="s">
        <v>56</v>
      </c>
    </row>
    <row r="18" spans="1:9" ht="15">
      <c r="A18" s="4">
        <v>2</v>
      </c>
      <c r="B18" s="3" t="s">
        <v>35</v>
      </c>
      <c r="C18" s="4" t="s">
        <v>53</v>
      </c>
      <c r="D18" s="3" t="s">
        <v>57</v>
      </c>
      <c r="E18" s="3" t="s">
        <v>44</v>
      </c>
      <c r="F18" s="4" t="s">
        <v>55</v>
      </c>
      <c r="G18" s="4" t="s">
        <v>27</v>
      </c>
      <c r="H18" s="5">
        <v>10</v>
      </c>
      <c r="I18" s="3" t="s">
        <v>56</v>
      </c>
    </row>
    <row r="19" spans="1:9" ht="15">
      <c r="A19" s="4">
        <v>2</v>
      </c>
      <c r="B19" s="3" t="s">
        <v>35</v>
      </c>
      <c r="C19" s="4" t="s">
        <v>53</v>
      </c>
      <c r="D19" s="3" t="s">
        <v>58</v>
      </c>
      <c r="E19" s="3" t="s">
        <v>46</v>
      </c>
      <c r="F19" s="4" t="s">
        <v>27</v>
      </c>
      <c r="G19" s="4" t="s">
        <v>59</v>
      </c>
      <c r="H19" s="5">
        <v>10</v>
      </c>
      <c r="I19" s="3" t="s">
        <v>56</v>
      </c>
    </row>
    <row r="20" spans="1:9" ht="15">
      <c r="A20" s="4">
        <v>2</v>
      </c>
      <c r="B20" s="3" t="s">
        <v>35</v>
      </c>
      <c r="C20" s="4"/>
      <c r="D20" s="3" t="s">
        <v>60</v>
      </c>
      <c r="E20" s="3" t="s">
        <v>33</v>
      </c>
      <c r="F20" s="4" t="s">
        <v>59</v>
      </c>
      <c r="G20" s="4" t="s">
        <v>34</v>
      </c>
      <c r="H20" s="5">
        <v>10</v>
      </c>
      <c r="I20" s="3"/>
    </row>
    <row r="21" spans="1:9" ht="15">
      <c r="A21" s="4">
        <v>3</v>
      </c>
      <c r="B21" s="3" t="s">
        <v>61</v>
      </c>
      <c r="C21" s="4"/>
      <c r="D21" s="3" t="s">
        <v>62</v>
      </c>
      <c r="E21" s="3" t="s">
        <v>5</v>
      </c>
      <c r="F21" s="4" t="s">
        <v>11</v>
      </c>
      <c r="G21" s="4" t="s">
        <v>63</v>
      </c>
      <c r="H21" s="5">
        <v>8</v>
      </c>
      <c r="I21" s="3" t="s">
        <v>64</v>
      </c>
    </row>
    <row r="22" spans="1:9" ht="15">
      <c r="A22" s="4">
        <v>3</v>
      </c>
      <c r="B22" s="3" t="s">
        <v>61</v>
      </c>
      <c r="C22" s="4"/>
      <c r="D22" s="3" t="s">
        <v>65</v>
      </c>
      <c r="E22" s="3" t="s">
        <v>23</v>
      </c>
      <c r="F22" s="4" t="s">
        <v>63</v>
      </c>
      <c r="G22" s="4" t="s">
        <v>12</v>
      </c>
      <c r="H22" s="5">
        <v>12</v>
      </c>
      <c r="I22" s="3" t="s">
        <v>66</v>
      </c>
    </row>
    <row r="23" spans="1:9" ht="15">
      <c r="A23" s="4">
        <v>3</v>
      </c>
      <c r="B23" s="3" t="s">
        <v>61</v>
      </c>
      <c r="C23" s="4" t="s">
        <v>67</v>
      </c>
      <c r="D23" s="3" t="s">
        <v>68</v>
      </c>
      <c r="E23" s="3" t="s">
        <v>40</v>
      </c>
      <c r="F23" s="4" t="s">
        <v>12</v>
      </c>
      <c r="G23" s="4" t="s">
        <v>69</v>
      </c>
      <c r="H23" s="5">
        <v>5</v>
      </c>
      <c r="I23" s="3" t="s">
        <v>70</v>
      </c>
    </row>
    <row r="24" spans="1:9" ht="15">
      <c r="A24" s="4">
        <v>3</v>
      </c>
      <c r="B24" s="3" t="s">
        <v>61</v>
      </c>
      <c r="C24" s="4" t="s">
        <v>67</v>
      </c>
      <c r="D24" s="3" t="s">
        <v>71</v>
      </c>
      <c r="E24" s="3" t="s">
        <v>44</v>
      </c>
      <c r="F24" s="4" t="s">
        <v>69</v>
      </c>
      <c r="G24" s="4" t="s">
        <v>72</v>
      </c>
      <c r="H24" s="5">
        <v>8</v>
      </c>
      <c r="I24" s="3" t="s">
        <v>70</v>
      </c>
    </row>
    <row r="25" spans="1:9" ht="15">
      <c r="A25" s="4">
        <v>3</v>
      </c>
      <c r="B25" s="3" t="s">
        <v>61</v>
      </c>
      <c r="C25" s="4" t="s">
        <v>67</v>
      </c>
      <c r="D25" s="3" t="s">
        <v>73</v>
      </c>
      <c r="E25" s="3" t="s">
        <v>46</v>
      </c>
      <c r="F25" s="4" t="s">
        <v>72</v>
      </c>
      <c r="G25" s="4" t="s">
        <v>74</v>
      </c>
      <c r="H25" s="5">
        <v>10</v>
      </c>
      <c r="I25" s="3" t="s">
        <v>70</v>
      </c>
    </row>
    <row r="26" spans="1:9" ht="15">
      <c r="A26" s="4">
        <v>3</v>
      </c>
      <c r="B26" s="3" t="s">
        <v>61</v>
      </c>
      <c r="C26" s="4" t="s">
        <v>75</v>
      </c>
      <c r="D26" s="3" t="s">
        <v>76</v>
      </c>
      <c r="E26" s="3" t="s">
        <v>40</v>
      </c>
      <c r="F26" s="4" t="s">
        <v>74</v>
      </c>
      <c r="G26" s="4" t="s">
        <v>77</v>
      </c>
      <c r="H26" s="5">
        <v>5</v>
      </c>
      <c r="I26" s="3" t="s">
        <v>78</v>
      </c>
    </row>
    <row r="27" spans="1:9" ht="15">
      <c r="A27" s="4">
        <v>3</v>
      </c>
      <c r="B27" s="3" t="s">
        <v>61</v>
      </c>
      <c r="C27" s="4" t="s">
        <v>75</v>
      </c>
      <c r="D27" s="3" t="s">
        <v>79</v>
      </c>
      <c r="E27" s="3" t="s">
        <v>44</v>
      </c>
      <c r="F27" s="4" t="s">
        <v>77</v>
      </c>
      <c r="G27" s="4" t="s">
        <v>80</v>
      </c>
      <c r="H27" s="5">
        <v>10</v>
      </c>
      <c r="I27" s="3" t="s">
        <v>78</v>
      </c>
    </row>
    <row r="28" spans="1:9" ht="15">
      <c r="A28" s="4">
        <v>3</v>
      </c>
      <c r="B28" s="3" t="s">
        <v>61</v>
      </c>
      <c r="C28" s="4" t="s">
        <v>75</v>
      </c>
      <c r="D28" s="3" t="s">
        <v>81</v>
      </c>
      <c r="E28" s="3" t="s">
        <v>46</v>
      </c>
      <c r="F28" s="4" t="s">
        <v>80</v>
      </c>
      <c r="G28" s="4" t="s">
        <v>82</v>
      </c>
      <c r="H28" s="5">
        <v>10</v>
      </c>
      <c r="I28" s="3" t="s">
        <v>78</v>
      </c>
    </row>
    <row r="29" spans="1:9" ht="15">
      <c r="A29" s="4">
        <v>3</v>
      </c>
      <c r="B29" s="3" t="s">
        <v>61</v>
      </c>
      <c r="C29" s="4" t="s">
        <v>83</v>
      </c>
      <c r="D29" s="3" t="s">
        <v>84</v>
      </c>
      <c r="E29" s="3" t="s">
        <v>40</v>
      </c>
      <c r="F29" s="4" t="s">
        <v>82</v>
      </c>
      <c r="G29" s="4" t="s">
        <v>85</v>
      </c>
      <c r="H29" s="5">
        <v>4</v>
      </c>
      <c r="I29" s="3" t="s">
        <v>86</v>
      </c>
    </row>
    <row r="30" spans="1:9" ht="15">
      <c r="A30" s="4">
        <v>3</v>
      </c>
      <c r="B30" s="3" t="s">
        <v>61</v>
      </c>
      <c r="C30" s="4" t="s">
        <v>83</v>
      </c>
      <c r="D30" s="3" t="s">
        <v>87</v>
      </c>
      <c r="E30" s="3" t="s">
        <v>44</v>
      </c>
      <c r="F30" s="4" t="s">
        <v>85</v>
      </c>
      <c r="G30" s="4" t="s">
        <v>59</v>
      </c>
      <c r="H30" s="5">
        <v>8</v>
      </c>
      <c r="I30" s="3" t="s">
        <v>88</v>
      </c>
    </row>
    <row r="31" spans="1:9" ht="15">
      <c r="A31" s="4">
        <v>3</v>
      </c>
      <c r="B31" s="3" t="s">
        <v>61</v>
      </c>
      <c r="C31" s="4" t="s">
        <v>83</v>
      </c>
      <c r="D31" s="3" t="s">
        <v>89</v>
      </c>
      <c r="E31" s="3" t="s">
        <v>46</v>
      </c>
      <c r="F31" s="4" t="s">
        <v>59</v>
      </c>
      <c r="G31" s="4" t="s">
        <v>30</v>
      </c>
      <c r="H31" s="5">
        <v>5</v>
      </c>
      <c r="I31" s="3" t="s">
        <v>88</v>
      </c>
    </row>
    <row r="32" spans="1:9" ht="15">
      <c r="A32" s="4">
        <v>3</v>
      </c>
      <c r="B32" s="3" t="s">
        <v>61</v>
      </c>
      <c r="C32" s="4"/>
      <c r="D32" s="3" t="s">
        <v>90</v>
      </c>
      <c r="E32" s="3" t="s">
        <v>91</v>
      </c>
      <c r="F32" s="4" t="s">
        <v>30</v>
      </c>
      <c r="G32" s="4" t="s">
        <v>34</v>
      </c>
      <c r="H32" s="5">
        <v>5</v>
      </c>
      <c r="I32" s="3"/>
    </row>
    <row r="33" spans="1:9" ht="15">
      <c r="A33" s="4">
        <v>4</v>
      </c>
      <c r="B33" s="3" t="s">
        <v>92</v>
      </c>
      <c r="C33" s="4"/>
      <c r="D33" s="3" t="s">
        <v>93</v>
      </c>
      <c r="E33" s="3" t="s">
        <v>5</v>
      </c>
      <c r="F33" s="4" t="s">
        <v>11</v>
      </c>
      <c r="G33" s="4" t="s">
        <v>63</v>
      </c>
      <c r="H33" s="5">
        <v>8</v>
      </c>
      <c r="I33" s="3" t="s">
        <v>21</v>
      </c>
    </row>
    <row r="34" spans="1:9" ht="15">
      <c r="A34" s="4">
        <v>4</v>
      </c>
      <c r="B34" s="3" t="s">
        <v>92</v>
      </c>
      <c r="C34" s="4" t="s">
        <v>94</v>
      </c>
      <c r="D34" s="3" t="s">
        <v>95</v>
      </c>
      <c r="E34" s="3" t="s">
        <v>40</v>
      </c>
      <c r="F34" s="4" t="s">
        <v>63</v>
      </c>
      <c r="G34" s="4" t="s">
        <v>96</v>
      </c>
      <c r="H34" s="5">
        <v>5</v>
      </c>
      <c r="I34" s="3" t="s">
        <v>97</v>
      </c>
    </row>
    <row r="35" spans="1:9" ht="15">
      <c r="A35" s="4">
        <v>4</v>
      </c>
      <c r="B35" s="3" t="s">
        <v>92</v>
      </c>
      <c r="C35" s="4" t="s">
        <v>94</v>
      </c>
      <c r="D35" s="3" t="s">
        <v>98</v>
      </c>
      <c r="E35" s="3" t="s">
        <v>44</v>
      </c>
      <c r="F35" s="4" t="s">
        <v>96</v>
      </c>
      <c r="G35" s="4" t="s">
        <v>12</v>
      </c>
      <c r="H35" s="5">
        <v>7</v>
      </c>
      <c r="I35" s="3" t="s">
        <v>99</v>
      </c>
    </row>
    <row r="36" spans="1:9" ht="15">
      <c r="A36" s="4">
        <v>4</v>
      </c>
      <c r="B36" s="3" t="s">
        <v>92</v>
      </c>
      <c r="C36" s="4" t="s">
        <v>94</v>
      </c>
      <c r="D36" s="3" t="s">
        <v>100</v>
      </c>
      <c r="E36" s="3" t="s">
        <v>46</v>
      </c>
      <c r="F36" s="4" t="s">
        <v>12</v>
      </c>
      <c r="G36" s="4" t="s">
        <v>101</v>
      </c>
      <c r="H36" s="5">
        <v>12</v>
      </c>
      <c r="I36" s="3" t="s">
        <v>99</v>
      </c>
    </row>
    <row r="37" spans="1:9" ht="15">
      <c r="A37" s="4">
        <v>4</v>
      </c>
      <c r="B37" s="3" t="s">
        <v>92</v>
      </c>
      <c r="C37" s="4" t="s">
        <v>102</v>
      </c>
      <c r="D37" s="3" t="s">
        <v>103</v>
      </c>
      <c r="E37" s="3" t="s">
        <v>40</v>
      </c>
      <c r="F37" s="4" t="s">
        <v>101</v>
      </c>
      <c r="G37" s="4" t="s">
        <v>104</v>
      </c>
      <c r="H37" s="5">
        <v>10</v>
      </c>
      <c r="I37" s="3" t="s">
        <v>105</v>
      </c>
    </row>
    <row r="38" spans="1:9" ht="15">
      <c r="A38" s="4">
        <v>4</v>
      </c>
      <c r="B38" s="3" t="s">
        <v>92</v>
      </c>
      <c r="C38" s="4" t="s">
        <v>102</v>
      </c>
      <c r="D38" s="3" t="s">
        <v>106</v>
      </c>
      <c r="E38" s="3" t="s">
        <v>44</v>
      </c>
      <c r="F38" s="4" t="s">
        <v>104</v>
      </c>
      <c r="G38" s="4" t="s">
        <v>107</v>
      </c>
      <c r="H38" s="5">
        <v>10</v>
      </c>
      <c r="I38" s="3" t="s">
        <v>108</v>
      </c>
    </row>
    <row r="39" spans="1:9" ht="15">
      <c r="A39" s="4">
        <v>4</v>
      </c>
      <c r="B39" s="3" t="s">
        <v>92</v>
      </c>
      <c r="C39" s="4" t="s">
        <v>102</v>
      </c>
      <c r="D39" s="3" t="s">
        <v>109</v>
      </c>
      <c r="E39" s="3" t="s">
        <v>46</v>
      </c>
      <c r="F39" s="4" t="s">
        <v>107</v>
      </c>
      <c r="G39" s="4" t="s">
        <v>110</v>
      </c>
      <c r="H39" s="5">
        <v>15</v>
      </c>
      <c r="I39" s="3" t="s">
        <v>111</v>
      </c>
    </row>
    <row r="40" spans="1:9" ht="15">
      <c r="A40" s="4">
        <v>4</v>
      </c>
      <c r="B40" s="3" t="s">
        <v>92</v>
      </c>
      <c r="C40" s="4" t="s">
        <v>112</v>
      </c>
      <c r="D40" s="3" t="s">
        <v>113</v>
      </c>
      <c r="E40" s="3" t="s">
        <v>40</v>
      </c>
      <c r="F40" s="4" t="s">
        <v>110</v>
      </c>
      <c r="G40" s="4" t="s">
        <v>85</v>
      </c>
      <c r="H40" s="5">
        <v>5</v>
      </c>
      <c r="I40" s="3" t="s">
        <v>114</v>
      </c>
    </row>
    <row r="41" spans="1:9" ht="15">
      <c r="A41" s="4">
        <v>4</v>
      </c>
      <c r="B41" s="3" t="s">
        <v>92</v>
      </c>
      <c r="C41" s="4" t="s">
        <v>112</v>
      </c>
      <c r="D41" s="3" t="s">
        <v>115</v>
      </c>
      <c r="E41" s="3" t="s">
        <v>46</v>
      </c>
      <c r="F41" s="4" t="s">
        <v>85</v>
      </c>
      <c r="G41" s="4" t="s">
        <v>30</v>
      </c>
      <c r="H41" s="5">
        <v>13</v>
      </c>
      <c r="I41" s="3" t="s">
        <v>114</v>
      </c>
    </row>
    <row r="42" spans="1:9" ht="15">
      <c r="A42" s="4">
        <v>4</v>
      </c>
      <c r="B42" s="3" t="s">
        <v>92</v>
      </c>
      <c r="C42" s="4"/>
      <c r="D42" s="3" t="s">
        <v>116</v>
      </c>
      <c r="E42" s="3" t="s">
        <v>91</v>
      </c>
      <c r="F42" s="4" t="s">
        <v>30</v>
      </c>
      <c r="G42" s="4" t="s">
        <v>34</v>
      </c>
      <c r="H42" s="5">
        <v>5</v>
      </c>
      <c r="I42" s="3"/>
    </row>
    <row r="43" spans="1:9" ht="15">
      <c r="A43" s="4">
        <v>5</v>
      </c>
      <c r="B43" s="3" t="s">
        <v>117</v>
      </c>
      <c r="C43" s="4"/>
      <c r="D43" s="3" t="s">
        <v>118</v>
      </c>
      <c r="E43" s="3" t="s">
        <v>5</v>
      </c>
      <c r="F43" s="4" t="s">
        <v>11</v>
      </c>
      <c r="G43" s="4" t="s">
        <v>41</v>
      </c>
      <c r="H43" s="5">
        <v>10</v>
      </c>
      <c r="I43" s="3" t="s">
        <v>119</v>
      </c>
    </row>
    <row r="44" spans="1:9" ht="15">
      <c r="A44" s="4">
        <v>5</v>
      </c>
      <c r="B44" s="3" t="s">
        <v>117</v>
      </c>
      <c r="C44" s="4" t="s">
        <v>120</v>
      </c>
      <c r="D44" s="3" t="s">
        <v>121</v>
      </c>
      <c r="E44" s="3" t="s">
        <v>40</v>
      </c>
      <c r="F44" s="4" t="s">
        <v>41</v>
      </c>
      <c r="G44" s="4" t="s">
        <v>122</v>
      </c>
      <c r="H44" s="5">
        <v>5</v>
      </c>
      <c r="I44" s="3" t="s">
        <v>123</v>
      </c>
    </row>
    <row r="45" spans="1:9" ht="15">
      <c r="A45" s="4">
        <v>5</v>
      </c>
      <c r="B45" s="3" t="s">
        <v>117</v>
      </c>
      <c r="C45" s="4" t="s">
        <v>120</v>
      </c>
      <c r="D45" s="3" t="s">
        <v>124</v>
      </c>
      <c r="E45" s="3" t="s">
        <v>44</v>
      </c>
      <c r="F45" s="4" t="s">
        <v>122</v>
      </c>
      <c r="G45" s="4" t="s">
        <v>69</v>
      </c>
      <c r="H45" s="5">
        <v>10</v>
      </c>
      <c r="I45" s="3" t="s">
        <v>125</v>
      </c>
    </row>
    <row r="46" spans="1:9" ht="15">
      <c r="A46" s="4">
        <v>5</v>
      </c>
      <c r="B46" s="3" t="s">
        <v>117</v>
      </c>
      <c r="C46" s="4" t="s">
        <v>120</v>
      </c>
      <c r="D46" s="3" t="s">
        <v>126</v>
      </c>
      <c r="E46" s="3" t="s">
        <v>46</v>
      </c>
      <c r="F46" s="4" t="s">
        <v>69</v>
      </c>
      <c r="G46" s="4" t="s">
        <v>127</v>
      </c>
      <c r="H46" s="5">
        <v>13</v>
      </c>
      <c r="I46" s="3" t="s">
        <v>125</v>
      </c>
    </row>
    <row r="47" spans="1:9" ht="15">
      <c r="A47" s="4">
        <v>5</v>
      </c>
      <c r="B47" s="3" t="s">
        <v>117</v>
      </c>
      <c r="C47" s="4" t="s">
        <v>128</v>
      </c>
      <c r="D47" s="3" t="s">
        <v>129</v>
      </c>
      <c r="E47" s="3" t="s">
        <v>40</v>
      </c>
      <c r="F47" s="4" t="s">
        <v>127</v>
      </c>
      <c r="G47" s="4" t="s">
        <v>77</v>
      </c>
      <c r="H47" s="5">
        <v>10</v>
      </c>
      <c r="I47" s="3" t="s">
        <v>130</v>
      </c>
    </row>
    <row r="48" spans="1:9" ht="15">
      <c r="A48" s="4">
        <v>5</v>
      </c>
      <c r="B48" s="3" t="s">
        <v>117</v>
      </c>
      <c r="C48" s="4" t="s">
        <v>128</v>
      </c>
      <c r="D48" s="3" t="s">
        <v>131</v>
      </c>
      <c r="E48" s="3" t="s">
        <v>44</v>
      </c>
      <c r="F48" s="4" t="s">
        <v>77</v>
      </c>
      <c r="G48" s="4" t="s">
        <v>80</v>
      </c>
      <c r="H48" s="5">
        <v>10</v>
      </c>
      <c r="I48" s="3" t="s">
        <v>132</v>
      </c>
    </row>
    <row r="49" spans="1:9" ht="15">
      <c r="A49" s="4">
        <v>5</v>
      </c>
      <c r="B49" s="3" t="s">
        <v>117</v>
      </c>
      <c r="C49" s="4" t="s">
        <v>128</v>
      </c>
      <c r="D49" s="3" t="s">
        <v>133</v>
      </c>
      <c r="E49" s="3" t="s">
        <v>46</v>
      </c>
      <c r="F49" s="4" t="s">
        <v>80</v>
      </c>
      <c r="G49" s="4" t="s">
        <v>27</v>
      </c>
      <c r="H49" s="5">
        <v>12</v>
      </c>
      <c r="I49" s="3" t="s">
        <v>132</v>
      </c>
    </row>
    <row r="50" spans="1:9" ht="15">
      <c r="A50" s="4">
        <v>5</v>
      </c>
      <c r="B50" s="3" t="s">
        <v>117</v>
      </c>
      <c r="C50" s="4" t="s">
        <v>134</v>
      </c>
      <c r="D50" s="3" t="s">
        <v>135</v>
      </c>
      <c r="E50" s="3" t="s">
        <v>46</v>
      </c>
      <c r="F50" s="4" t="s">
        <v>27</v>
      </c>
      <c r="G50" s="4" t="s">
        <v>30</v>
      </c>
      <c r="H50" s="5">
        <v>15</v>
      </c>
      <c r="I50" s="3" t="s">
        <v>119</v>
      </c>
    </row>
    <row r="51" spans="1:9" ht="15">
      <c r="A51" s="4">
        <v>5</v>
      </c>
      <c r="B51" s="3" t="s">
        <v>117</v>
      </c>
      <c r="C51" s="4"/>
      <c r="D51" s="3" t="s">
        <v>136</v>
      </c>
      <c r="E51" s="3" t="s">
        <v>91</v>
      </c>
      <c r="F51" s="4" t="s">
        <v>30</v>
      </c>
      <c r="G51" s="4" t="s">
        <v>34</v>
      </c>
      <c r="H51" s="5">
        <v>5</v>
      </c>
      <c r="I51" s="3"/>
    </row>
    <row r="52" spans="1:9" ht="15">
      <c r="A52" s="4">
        <v>6</v>
      </c>
      <c r="B52" s="3" t="s">
        <v>137</v>
      </c>
      <c r="C52" s="4"/>
      <c r="D52" s="3" t="s">
        <v>138</v>
      </c>
      <c r="E52" s="3" t="s">
        <v>5</v>
      </c>
      <c r="F52" s="4" t="s">
        <v>11</v>
      </c>
      <c r="G52" s="4" t="s">
        <v>41</v>
      </c>
      <c r="H52" s="5">
        <v>10</v>
      </c>
      <c r="I52" s="3" t="s">
        <v>139</v>
      </c>
    </row>
    <row r="53" spans="1:9" ht="15">
      <c r="A53" s="4">
        <v>6</v>
      </c>
      <c r="B53" s="3" t="s">
        <v>137</v>
      </c>
      <c r="C53" s="4" t="s">
        <v>140</v>
      </c>
      <c r="D53" s="3" t="s">
        <v>141</v>
      </c>
      <c r="E53" s="3" t="s">
        <v>40</v>
      </c>
      <c r="F53" s="4" t="s">
        <v>41</v>
      </c>
      <c r="G53" s="4" t="s">
        <v>122</v>
      </c>
      <c r="H53" s="5">
        <v>5</v>
      </c>
      <c r="I53" s="3" t="s">
        <v>142</v>
      </c>
    </row>
    <row r="54" spans="1:9" ht="15">
      <c r="A54" s="4">
        <v>6</v>
      </c>
      <c r="B54" s="3" t="s">
        <v>137</v>
      </c>
      <c r="C54" s="4" t="s">
        <v>140</v>
      </c>
      <c r="D54" s="3" t="s">
        <v>143</v>
      </c>
      <c r="E54" s="3" t="s">
        <v>44</v>
      </c>
      <c r="F54" s="4" t="s">
        <v>122</v>
      </c>
      <c r="G54" s="4" t="s">
        <v>69</v>
      </c>
      <c r="H54" s="5">
        <v>10</v>
      </c>
      <c r="I54" s="3" t="s">
        <v>139</v>
      </c>
    </row>
    <row r="55" spans="1:9" ht="15">
      <c r="A55" s="4">
        <v>6</v>
      </c>
      <c r="B55" s="3" t="s">
        <v>137</v>
      </c>
      <c r="C55" s="4" t="s">
        <v>140</v>
      </c>
      <c r="D55" s="3" t="s">
        <v>144</v>
      </c>
      <c r="E55" s="3" t="s">
        <v>46</v>
      </c>
      <c r="F55" s="4" t="s">
        <v>69</v>
      </c>
      <c r="G55" s="4" t="s">
        <v>20</v>
      </c>
      <c r="H55" s="5">
        <v>15</v>
      </c>
      <c r="I55" s="3" t="s">
        <v>139</v>
      </c>
    </row>
    <row r="56" spans="1:9" ht="15">
      <c r="A56" s="4">
        <v>6</v>
      </c>
      <c r="B56" s="3" t="s">
        <v>137</v>
      </c>
      <c r="C56" s="4" t="s">
        <v>145</v>
      </c>
      <c r="D56" s="3" t="s">
        <v>146</v>
      </c>
      <c r="E56" s="3" t="s">
        <v>40</v>
      </c>
      <c r="F56" s="4" t="s">
        <v>20</v>
      </c>
      <c r="G56" s="4" t="s">
        <v>51</v>
      </c>
      <c r="H56" s="5">
        <v>5</v>
      </c>
      <c r="I56" s="3" t="s">
        <v>147</v>
      </c>
    </row>
    <row r="57" spans="1:9" ht="15">
      <c r="A57" s="4">
        <v>6</v>
      </c>
      <c r="B57" s="3" t="s">
        <v>137</v>
      </c>
      <c r="C57" s="4" t="s">
        <v>145</v>
      </c>
      <c r="D57" s="3" t="s">
        <v>148</v>
      </c>
      <c r="E57" s="3" t="s">
        <v>44</v>
      </c>
      <c r="F57" s="4" t="s">
        <v>51</v>
      </c>
      <c r="G57" s="4" t="s">
        <v>24</v>
      </c>
      <c r="H57" s="5">
        <v>10</v>
      </c>
      <c r="I57" s="3" t="s">
        <v>147</v>
      </c>
    </row>
    <row r="58" spans="1:9" ht="15">
      <c r="A58" s="4">
        <v>6</v>
      </c>
      <c r="B58" s="3" t="s">
        <v>137</v>
      </c>
      <c r="C58" s="4" t="s">
        <v>145</v>
      </c>
      <c r="D58" s="3" t="s">
        <v>149</v>
      </c>
      <c r="E58" s="3" t="s">
        <v>46</v>
      </c>
      <c r="F58" s="4" t="s">
        <v>24</v>
      </c>
      <c r="G58" s="4" t="s">
        <v>27</v>
      </c>
      <c r="H58" s="5">
        <v>15</v>
      </c>
      <c r="I58" s="3" t="s">
        <v>139</v>
      </c>
    </row>
    <row r="59" spans="1:9" ht="15">
      <c r="A59" s="4">
        <v>6</v>
      </c>
      <c r="B59" s="3" t="s">
        <v>137</v>
      </c>
      <c r="C59" s="4" t="s">
        <v>150</v>
      </c>
      <c r="D59" s="3" t="s">
        <v>151</v>
      </c>
      <c r="E59" s="3" t="s">
        <v>40</v>
      </c>
      <c r="F59" s="4" t="s">
        <v>27</v>
      </c>
      <c r="G59" s="4" t="s">
        <v>59</v>
      </c>
      <c r="H59" s="5">
        <v>10</v>
      </c>
      <c r="I59" s="3" t="s">
        <v>152</v>
      </c>
    </row>
    <row r="60" spans="1:9" ht="15">
      <c r="A60" s="4">
        <v>6</v>
      </c>
      <c r="B60" s="3" t="s">
        <v>137</v>
      </c>
      <c r="C60" s="4" t="s">
        <v>150</v>
      </c>
      <c r="D60" s="3" t="s">
        <v>153</v>
      </c>
      <c r="E60" s="3" t="s">
        <v>46</v>
      </c>
      <c r="F60" s="4" t="s">
        <v>59</v>
      </c>
      <c r="G60" s="4" t="s">
        <v>154</v>
      </c>
      <c r="H60" s="5">
        <v>7</v>
      </c>
      <c r="I60" s="3" t="s">
        <v>139</v>
      </c>
    </row>
    <row r="61" spans="1:9" ht="15">
      <c r="A61" s="4">
        <v>6</v>
      </c>
      <c r="B61" s="3" t="s">
        <v>137</v>
      </c>
      <c r="C61" s="4"/>
      <c r="D61" s="3" t="s">
        <v>155</v>
      </c>
      <c r="E61" s="3" t="s">
        <v>91</v>
      </c>
      <c r="F61" s="4" t="s">
        <v>154</v>
      </c>
      <c r="G61" s="4" t="s">
        <v>34</v>
      </c>
      <c r="H61" s="5">
        <v>3</v>
      </c>
      <c r="I61" s="3"/>
    </row>
    <row r="62" spans="1:9" ht="15">
      <c r="A62" s="4">
        <v>7</v>
      </c>
      <c r="B62" s="3" t="s">
        <v>156</v>
      </c>
      <c r="C62" s="4"/>
      <c r="D62" s="3" t="s">
        <v>157</v>
      </c>
      <c r="E62" s="3" t="s">
        <v>158</v>
      </c>
      <c r="F62" s="4" t="s">
        <v>11</v>
      </c>
      <c r="G62" s="4" t="s">
        <v>12</v>
      </c>
      <c r="H62" s="5">
        <v>20</v>
      </c>
      <c r="I62" s="3"/>
    </row>
    <row r="63" spans="1:9" ht="15">
      <c r="A63" s="4">
        <v>7</v>
      </c>
      <c r="B63" s="3" t="s">
        <v>156</v>
      </c>
      <c r="C63" s="4"/>
      <c r="D63" s="3" t="s">
        <v>159</v>
      </c>
      <c r="E63" s="3" t="s">
        <v>33</v>
      </c>
      <c r="F63" s="4" t="s">
        <v>12</v>
      </c>
      <c r="G63" s="4" t="s">
        <v>20</v>
      </c>
      <c r="H63" s="5">
        <v>20</v>
      </c>
      <c r="I63" s="3"/>
    </row>
    <row r="64" spans="1:9" ht="15">
      <c r="A64" s="4">
        <v>7</v>
      </c>
      <c r="B64" s="3" t="s">
        <v>156</v>
      </c>
      <c r="C64" s="4"/>
      <c r="D64" s="3" t="s">
        <v>160</v>
      </c>
      <c r="E64" s="3" t="s">
        <v>158</v>
      </c>
      <c r="F64" s="4" t="s">
        <v>20</v>
      </c>
      <c r="G64" s="4" t="s">
        <v>161</v>
      </c>
      <c r="H64" s="5">
        <v>10</v>
      </c>
      <c r="I64" s="3" t="s">
        <v>162</v>
      </c>
    </row>
    <row r="65" spans="1:9" ht="15">
      <c r="A65" s="4">
        <v>7</v>
      </c>
      <c r="B65" s="3" t="s">
        <v>156</v>
      </c>
      <c r="C65" s="4"/>
      <c r="D65" s="3" t="s">
        <v>163</v>
      </c>
      <c r="E65" s="3" t="s">
        <v>164</v>
      </c>
      <c r="F65" s="4" t="s">
        <v>161</v>
      </c>
      <c r="G65" s="4" t="s">
        <v>165</v>
      </c>
      <c r="H65" s="5">
        <v>15</v>
      </c>
      <c r="I65" s="3"/>
    </row>
    <row r="66" spans="1:9" ht="15">
      <c r="A66" s="4">
        <v>7</v>
      </c>
      <c r="B66" s="3" t="s">
        <v>156</v>
      </c>
      <c r="C66" s="4"/>
      <c r="D66" s="3" t="s">
        <v>166</v>
      </c>
      <c r="E66" s="3" t="s">
        <v>164</v>
      </c>
      <c r="F66" s="4" t="s">
        <v>165</v>
      </c>
      <c r="G66" s="4" t="s">
        <v>30</v>
      </c>
      <c r="H66" s="5">
        <v>20</v>
      </c>
      <c r="I66" s="3"/>
    </row>
    <row r="67" spans="1:9" ht="15">
      <c r="A67" s="4">
        <v>7</v>
      </c>
      <c r="B67" s="3" t="s">
        <v>156</v>
      </c>
      <c r="C67" s="4"/>
      <c r="D67" s="3" t="s">
        <v>167</v>
      </c>
      <c r="E67" s="3" t="s">
        <v>91</v>
      </c>
      <c r="F67" s="4" t="s">
        <v>30</v>
      </c>
      <c r="G67" s="4" t="s">
        <v>34</v>
      </c>
      <c r="H67" s="5">
        <v>5</v>
      </c>
      <c r="I67" s="3"/>
    </row>
    <row r="68" spans="1:9" ht="15">
      <c r="A68" s="4">
        <v>8</v>
      </c>
      <c r="B68" s="3" t="s">
        <v>168</v>
      </c>
      <c r="C68" s="4"/>
      <c r="D68" s="3" t="s">
        <v>169</v>
      </c>
      <c r="E68" s="3" t="s">
        <v>170</v>
      </c>
      <c r="F68" s="4" t="s">
        <v>11</v>
      </c>
      <c r="G68" s="4" t="s">
        <v>165</v>
      </c>
      <c r="H68" s="5">
        <v>65</v>
      </c>
      <c r="I68" s="3"/>
    </row>
    <row r="69" spans="1:9" ht="15">
      <c r="A69" s="4">
        <v>8</v>
      </c>
      <c r="B69" s="3" t="s">
        <v>168</v>
      </c>
      <c r="C69" s="4"/>
      <c r="D69" s="3" t="s">
        <v>171</v>
      </c>
      <c r="E69" s="3" t="s">
        <v>172</v>
      </c>
      <c r="F69" s="4" t="s">
        <v>165</v>
      </c>
      <c r="G69" s="4" t="s">
        <v>59</v>
      </c>
      <c r="H69" s="5">
        <v>15</v>
      </c>
      <c r="I69" s="3"/>
    </row>
    <row r="70" spans="1:9" ht="15">
      <c r="A70" s="4">
        <v>8</v>
      </c>
      <c r="B70" s="3" t="s">
        <v>168</v>
      </c>
      <c r="C70" s="4"/>
      <c r="D70" s="3" t="s">
        <v>173</v>
      </c>
      <c r="E70" s="3" t="s">
        <v>91</v>
      </c>
      <c r="F70" s="4" t="s">
        <v>59</v>
      </c>
      <c r="G70" s="4" t="s">
        <v>34</v>
      </c>
      <c r="H70" s="5">
        <v>10</v>
      </c>
      <c r="I70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4"/>
  <cols>
    <col min="1" max="1" width="22" customWidth="1"/>
    <col min="2" max="2" width="42" customWidth="1"/>
    <col min="3" max="5" width="22" customWidth="1"/>
  </cols>
  <sheetData>
    <row r="1" spans="1:5" ht="32" customHeight="1">
      <c r="A1" s="1" t="s">
        <v>0</v>
      </c>
      <c r="B1" s="1" t="s">
        <v>1</v>
      </c>
      <c r="C1" s="1" t="s">
        <v>174</v>
      </c>
      <c r="D1" s="1" t="s">
        <v>175</v>
      </c>
      <c r="E1" s="1" t="s">
        <v>176</v>
      </c>
    </row>
    <row r="2" spans="1:5" ht="15">
      <c r="A2" s="6">
        <v>1</v>
      </c>
      <c r="B2" s="2" t="s">
        <v>9</v>
      </c>
      <c r="C2" s="7">
        <f>SUM(Planificación!H2:H9)</f>
        <v>90</v>
      </c>
      <c r="D2" s="7">
        <f t="shared" ref="D2:D9" si="0">C2/60</f>
        <v>1.5</v>
      </c>
      <c r="E2" s="2" t="str">
        <f t="shared" ref="E2:E9" si="1">IF(C2=90,"OK","Revisar")</f>
        <v>OK</v>
      </c>
    </row>
    <row r="3" spans="1:5" ht="15">
      <c r="A3" s="6">
        <v>2</v>
      </c>
      <c r="B3" s="2" t="s">
        <v>35</v>
      </c>
      <c r="C3" s="7">
        <f>SUM(Planificación!H10:H20)</f>
        <v>90</v>
      </c>
      <c r="D3" s="7">
        <f t="shared" si="0"/>
        <v>1.5</v>
      </c>
      <c r="E3" s="2" t="str">
        <f t="shared" si="1"/>
        <v>OK</v>
      </c>
    </row>
    <row r="4" spans="1:5" ht="15">
      <c r="A4" s="6">
        <v>3</v>
      </c>
      <c r="B4" s="2" t="s">
        <v>61</v>
      </c>
      <c r="C4" s="7">
        <f>SUM(Planificación!H21:H32)</f>
        <v>90</v>
      </c>
      <c r="D4" s="7">
        <f t="shared" si="0"/>
        <v>1.5</v>
      </c>
      <c r="E4" s="2" t="str">
        <f t="shared" si="1"/>
        <v>OK</v>
      </c>
    </row>
    <row r="5" spans="1:5" ht="15">
      <c r="A5" s="6">
        <v>4</v>
      </c>
      <c r="B5" s="2" t="s">
        <v>92</v>
      </c>
      <c r="C5" s="7">
        <f>SUM(Planificación!H33:H42)</f>
        <v>90</v>
      </c>
      <c r="D5" s="7">
        <f t="shared" si="0"/>
        <v>1.5</v>
      </c>
      <c r="E5" s="2" t="str">
        <f t="shared" si="1"/>
        <v>OK</v>
      </c>
    </row>
    <row r="6" spans="1:5" ht="15">
      <c r="A6" s="6">
        <v>5</v>
      </c>
      <c r="B6" s="2" t="s">
        <v>117</v>
      </c>
      <c r="C6" s="7">
        <f>SUM(Planificación!H43:H51)</f>
        <v>90</v>
      </c>
      <c r="D6" s="7">
        <f t="shared" si="0"/>
        <v>1.5</v>
      </c>
      <c r="E6" s="2" t="str">
        <f t="shared" si="1"/>
        <v>OK</v>
      </c>
    </row>
    <row r="7" spans="1:5" ht="15">
      <c r="A7" s="6">
        <v>6</v>
      </c>
      <c r="B7" s="2" t="s">
        <v>137</v>
      </c>
      <c r="C7" s="7">
        <f>SUM(Planificación!H52:H61)</f>
        <v>90</v>
      </c>
      <c r="D7" s="7">
        <f t="shared" si="0"/>
        <v>1.5</v>
      </c>
      <c r="E7" s="2" t="str">
        <f t="shared" si="1"/>
        <v>OK</v>
      </c>
    </row>
    <row r="8" spans="1:5" ht="15">
      <c r="A8" s="6">
        <v>7</v>
      </c>
      <c r="B8" s="2" t="s">
        <v>156</v>
      </c>
      <c r="C8" s="7">
        <f>SUM(Planificación!H62:H67)</f>
        <v>90</v>
      </c>
      <c r="D8" s="7">
        <f t="shared" si="0"/>
        <v>1.5</v>
      </c>
      <c r="E8" s="2" t="str">
        <f t="shared" si="1"/>
        <v>OK</v>
      </c>
    </row>
    <row r="9" spans="1:5" ht="15">
      <c r="A9" s="6">
        <v>8</v>
      </c>
      <c r="B9" s="2" t="s">
        <v>168</v>
      </c>
      <c r="C9" s="7">
        <f>SUM(Planificación!H68:H70)</f>
        <v>90</v>
      </c>
      <c r="D9" s="7">
        <f t="shared" si="0"/>
        <v>1.5</v>
      </c>
      <c r="E9" s="2" t="str">
        <f t="shared" si="1"/>
        <v>OK</v>
      </c>
    </row>
    <row r="10" spans="1:5">
      <c r="A10" s="6"/>
      <c r="B10" s="2"/>
      <c r="C10" s="7"/>
      <c r="D10" s="7"/>
      <c r="E10" s="2"/>
    </row>
    <row r="11" spans="1:5" ht="15">
      <c r="A11" s="6" t="s">
        <v>177</v>
      </c>
      <c r="B11" s="2"/>
      <c r="C11" s="7">
        <f>SUM(C2:C9)</f>
        <v>720</v>
      </c>
      <c r="D11" s="7">
        <f>C11/60</f>
        <v>12</v>
      </c>
      <c r="E11" s="2" t="str">
        <f>IF(C11=720,"OK","Revisar")</f>
        <v>OK</v>
      </c>
    </row>
  </sheetData>
  <conditionalFormatting sqref="E2:E11">
    <cfRule type="expression" dxfId="1" priority="1">
      <formula>E2="OK"</formula>
    </cfRule>
    <cfRule type="expression" dxfId="0" priority="2">
      <formula>E2="Revisar"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3203125" defaultRowHeight="14"/>
  <cols>
    <col min="1" max="1" width="28" customWidth="1"/>
    <col min="2" max="2" width="76" customWidth="1"/>
    <col min="3" max="3" width="50" customWidth="1"/>
  </cols>
  <sheetData>
    <row r="1" spans="1:3" ht="32" customHeight="1">
      <c r="A1" s="1" t="s">
        <v>178</v>
      </c>
      <c r="B1" s="1" t="s">
        <v>179</v>
      </c>
      <c r="C1" s="1" t="s">
        <v>180</v>
      </c>
    </row>
    <row r="2" spans="1:3" ht="15">
      <c r="A2" s="2" t="s">
        <v>181</v>
      </c>
      <c r="B2" s="2" t="s">
        <v>182</v>
      </c>
      <c r="C2" s="2" t="s">
        <v>183</v>
      </c>
    </row>
    <row r="3" spans="1:3" ht="30">
      <c r="A3" s="2" t="s">
        <v>184</v>
      </c>
      <c r="B3" s="2" t="s">
        <v>185</v>
      </c>
      <c r="C3" s="2" t="s">
        <v>186</v>
      </c>
    </row>
    <row r="4" spans="1:3" ht="30">
      <c r="A4" s="2" t="s">
        <v>187</v>
      </c>
      <c r="B4" s="2" t="s">
        <v>188</v>
      </c>
      <c r="C4" s="2" t="s">
        <v>189</v>
      </c>
    </row>
    <row r="5" spans="1:3" ht="30">
      <c r="A5" s="2" t="s">
        <v>190</v>
      </c>
      <c r="B5" s="2" t="s">
        <v>191</v>
      </c>
      <c r="C5" s="2" t="s">
        <v>192</v>
      </c>
    </row>
    <row r="6" spans="1:3" ht="30">
      <c r="A6" s="2" t="s">
        <v>193</v>
      </c>
      <c r="B6" s="2" t="s">
        <v>194</v>
      </c>
      <c r="C6" s="2" t="s">
        <v>195</v>
      </c>
    </row>
    <row r="7" spans="1:3" ht="30">
      <c r="A7" s="2" t="s">
        <v>196</v>
      </c>
      <c r="B7" s="2" t="s">
        <v>197</v>
      </c>
      <c r="C7" s="2" t="s">
        <v>198</v>
      </c>
    </row>
    <row r="8" spans="1:3" ht="30">
      <c r="A8" s="2" t="s">
        <v>199</v>
      </c>
      <c r="B8" s="2" t="s">
        <v>200</v>
      </c>
      <c r="C8" s="2" t="s">
        <v>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Planificación</vt:lpstr>
      <vt:lpstr>Resumen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2026-05-06T18:20:57Z</dcterms:modified>
</cp:coreProperties>
</file>